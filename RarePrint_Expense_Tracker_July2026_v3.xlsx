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pense (by category)" sheetId="2" state="visible" r:id="rId2"/>
    <sheet xmlns:r="http://schemas.openxmlformats.org/officeDocument/2006/relationships" name="Vendor Payments (excluded)" sheetId="3" state="visible" r:id="rId3"/>
    <sheet xmlns:r="http://schemas.openxmlformats.org/officeDocument/2006/relationships" name="Salary" sheetId="4" state="visible" r:id="rId4"/>
    <sheet xmlns:r="http://schemas.openxmlformats.org/officeDocument/2006/relationships" name="Commission" sheetId="5" state="visible" r:id="rId5"/>
  </sheets>
  <definedNames/>
  <calcPr calcId="999999" fullCalcOnLoad="1"/>
</workbook>
</file>

<file path=xl/styles.xml><?xml version="1.0" encoding="utf-8"?>
<styleSheet xmlns="http://schemas.openxmlformats.org/spreadsheetml/2006/main">
  <numFmts count="1">
    <numFmt numFmtId="164" formatCode="₹#,##0.00;(₹#,##0.00);&quot;-&quot;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color rgb="001F4E78"/>
      <sz val="11"/>
    </font>
    <font>
      <name val="Arial"/>
      <b val="1"/>
      <sz val="9"/>
    </font>
    <font>
      <name val="Arial"/>
      <b val="1"/>
      <color rgb="00B00020"/>
      <sz val="9"/>
    </font>
    <font>
      <name val="Arial"/>
      <b val="1"/>
      <color rgb="00127622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CE8E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5" fillId="3" borderId="1" pivotButton="0" quotePrefix="0" xfId="0"/>
    <xf numFmtId="164" fontId="5" fillId="3" borderId="1" pivotButton="0" quotePrefix="0" xfId="0"/>
    <xf numFmtId="0" fontId="5" fillId="0" borderId="0" pivotButton="0" quotePrefix="0" xfId="0"/>
    <xf numFmtId="0" fontId="4" fillId="4" borderId="1" pivotButton="0" quotePrefix="0" xfId="0"/>
    <xf numFmtId="164" fontId="4" fillId="4" borderId="1" pivotButton="0" quotePrefix="0" xfId="0"/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6" fillId="0" borderId="0" pivotButton="0" quotePrefix="0" xfId="0"/>
    <xf numFmtId="0" fontId="7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horizontal="right"/>
    </xf>
    <xf numFmtId="164" fontId="5" fillId="3" borderId="0" pivotButton="0" quotePrefix="0" xfId="0"/>
    <xf numFmtId="0" fontId="8" fillId="5" borderId="1" pivotButton="0" quotePrefix="0" xfId="0"/>
    <xf numFmtId="0" fontId="9" fillId="0" borderId="1" pivotButton="0" quotePrefix="0" xfId="0"/>
    <xf numFmtId="0" fontId="10" fillId="0" borderId="1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RarePrint — Expense Tracker (July 2026)</t>
        </is>
      </c>
    </row>
    <row r="2">
      <c r="A2" s="2" t="inlineStr">
        <is>
          <t>Source: Accounts &gt; Payment Verification, month-mapped via Expense Month override. Vendor payments (COGS/raw-material purchases) excluded from expense.</t>
        </is>
      </c>
    </row>
    <row r="4">
      <c r="A4" s="3" t="inlineStr"/>
      <c r="B4" s="3" t="inlineStr">
        <is>
          <t>Accrued</t>
        </is>
      </c>
      <c r="C4" s="3" t="inlineStr">
        <is>
          <t>Paid</t>
        </is>
      </c>
      <c r="D4" s="3" t="inlineStr">
        <is>
          <t>Balance</t>
        </is>
      </c>
    </row>
    <row r="5">
      <c r="A5" s="4" t="inlineStr">
        <is>
          <t>Expense (excl. Vendor Payments) — see tab</t>
        </is>
      </c>
      <c r="B5" s="5" t="n">
        <v>631546.28</v>
      </c>
      <c r="C5" s="5" t="n">
        <v>13390.9</v>
      </c>
      <c r="D5" s="5" t="n">
        <v>618155.38</v>
      </c>
    </row>
    <row r="6">
      <c r="A6" s="4" t="inlineStr">
        <is>
          <t>Salary (HR-engine, per Expense Tracker)</t>
        </is>
      </c>
      <c r="B6" s="5" t="n">
        <v>0</v>
      </c>
      <c r="C6" s="5" t="n">
        <v>0</v>
      </c>
      <c r="D6" s="5" t="n">
        <v>0</v>
      </c>
    </row>
    <row r="7">
      <c r="A7" s="4" t="inlineStr">
        <is>
          <t>Commission</t>
        </is>
      </c>
      <c r="B7" s="5" t="n">
        <v>5000</v>
      </c>
      <c r="C7" s="5" t="n">
        <v>0</v>
      </c>
      <c r="D7" s="5" t="n">
        <v>5000</v>
      </c>
    </row>
    <row r="8">
      <c r="A8" s="6" t="inlineStr">
        <is>
          <t>TOTAL</t>
        </is>
      </c>
      <c r="B8" s="7" t="n">
        <v>636546.28</v>
      </c>
      <c r="C8" s="7" t="n">
        <v>13390.9</v>
      </c>
      <c r="D8" s="7" t="n">
        <v>623155.38</v>
      </c>
    </row>
    <row r="10">
      <c r="A10" s="8" t="inlineStr">
        <is>
          <t>Memo — Vendor Payments (excluded, see tab, shown for reference only)</t>
        </is>
      </c>
    </row>
    <row r="11">
      <c r="A11" s="3" t="inlineStr"/>
      <c r="B11" s="3" t="inlineStr">
        <is>
          <t>Accrued</t>
        </is>
      </c>
      <c r="C11" s="3" t="inlineStr">
        <is>
          <t>Paid</t>
        </is>
      </c>
      <c r="D11" s="3" t="inlineStr">
        <is>
          <t>Balance</t>
        </is>
      </c>
    </row>
    <row r="12">
      <c r="A12" s="9" t="inlineStr">
        <is>
          <t>Vendor Payments (COGS purchases)</t>
        </is>
      </c>
      <c r="B12" s="10" t="n">
        <v>373270</v>
      </c>
      <c r="C12" s="10" t="n">
        <v>0</v>
      </c>
      <c r="D12" s="10" t="n">
        <v>373270</v>
      </c>
    </row>
    <row r="14">
      <c r="A14" s="2" t="inlineStr">
        <is>
          <t>Grand total (Expense + Vendor Payments) = ₹10,04,816.28 — matches the original Vendor/Expense figure on the live Expense Tracker screen.</t>
        </is>
      </c>
    </row>
  </sheetData>
  <mergeCells count="3">
    <mergeCell ref="A1:D1"/>
    <mergeCell ref="A14:D1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3" customWidth="1" min="3" max="3"/>
    <col width="11" customWidth="1" min="4" max="4"/>
    <col width="14" customWidth="1" min="5" max="5"/>
  </cols>
  <sheetData>
    <row r="1">
      <c r="A1" s="1" t="inlineStr">
        <is>
          <t>Expense — July 2026 (excl. Vendor Payments), by category</t>
        </is>
      </c>
    </row>
    <row r="2">
      <c r="A2" s="2" t="inlineStr">
        <is>
          <t>34 categories, 142 transactions, sorted by total (highest first). See "Category Totals" table below, then itemized detail per category.</t>
        </is>
      </c>
    </row>
    <row r="4">
      <c r="A4" s="11" t="inlineStr">
        <is>
          <t>Category</t>
        </is>
      </c>
      <c r="B4" s="11" t="inlineStr">
        <is>
          <t>Txns</t>
        </is>
      </c>
      <c r="C4" s="11" t="inlineStr">
        <is>
          <t>Accrued</t>
        </is>
      </c>
      <c r="D4" s="11" t="inlineStr">
        <is>
          <t>Paid</t>
        </is>
      </c>
      <c r="E4" s="11" t="inlineStr">
        <is>
          <t>Balance</t>
        </is>
      </c>
    </row>
    <row r="5">
      <c r="A5" s="4" t="inlineStr">
        <is>
          <t>SANKET PIMPALKAR SALARY</t>
        </is>
      </c>
      <c r="B5" s="12" t="n">
        <v>21</v>
      </c>
      <c r="C5" s="5" t="n">
        <v>148500</v>
      </c>
      <c r="D5" s="5" t="n">
        <v>1000</v>
      </c>
      <c r="E5" s="5">
        <f>C5-D5</f>
        <v>147500.0</v>
      </c>
    </row>
    <row r="6">
      <c r="A6" s="4" t="inlineStr">
        <is>
          <t>BIGSHIP RECHARGE</t>
        </is>
      </c>
      <c r="B6" s="12" t="n">
        <v>5</v>
      </c>
      <c r="C6" s="5" t="n">
        <v>75000</v>
      </c>
      <c r="D6" s="5" t="n">
        <v>0</v>
      </c>
      <c r="E6" s="5">
        <f>C6-D6</f>
        <v>75000.0</v>
      </c>
    </row>
    <row r="7">
      <c r="A7" s="4" t="inlineStr">
        <is>
          <t>BANK TRANSFER</t>
        </is>
      </c>
      <c r="B7" s="12" t="n">
        <v>1</v>
      </c>
      <c r="C7" s="5" t="n">
        <v>45022</v>
      </c>
      <c r="D7" s="5" t="n">
        <v>0</v>
      </c>
      <c r="E7" s="5">
        <f>C7-D7</f>
        <v>45022.0</v>
      </c>
    </row>
    <row r="8">
      <c r="A8" s="4" t="inlineStr">
        <is>
          <t>(none)</t>
        </is>
      </c>
      <c r="B8" s="12" t="n">
        <v>24</v>
      </c>
      <c r="C8" s="5" t="n">
        <v>37293</v>
      </c>
      <c r="D8" s="5" t="n">
        <v>0</v>
      </c>
      <c r="E8" s="5">
        <f>C8-D8</f>
        <v>37293.0</v>
      </c>
    </row>
    <row r="9">
      <c r="A9" s="4" t="inlineStr">
        <is>
          <t>RITU GHOSH SALARY</t>
        </is>
      </c>
      <c r="B9" s="12" t="n">
        <v>1</v>
      </c>
      <c r="C9" s="5" t="n">
        <v>31546</v>
      </c>
      <c r="D9" s="5" t="n">
        <v>0</v>
      </c>
      <c r="E9" s="5">
        <f>C9-D9</f>
        <v>31546.0</v>
      </c>
    </row>
    <row r="10">
      <c r="A10" s="4" t="inlineStr">
        <is>
          <t>GULFAM QURESHI SALARY</t>
        </is>
      </c>
      <c r="B10" s="12" t="n">
        <v>4</v>
      </c>
      <c r="C10" s="5" t="n">
        <v>28263</v>
      </c>
      <c r="D10" s="5" t="n">
        <v>0</v>
      </c>
      <c r="E10" s="5">
        <f>C10-D10</f>
        <v>28263.0</v>
      </c>
    </row>
    <row r="11">
      <c r="A11" s="4" t="inlineStr">
        <is>
          <t>SANDIP ZAGADKAR SALARY</t>
        </is>
      </c>
      <c r="B11" s="12" t="n">
        <v>5</v>
      </c>
      <c r="C11" s="5" t="n">
        <v>27000</v>
      </c>
      <c r="D11" s="5" t="n">
        <v>0</v>
      </c>
      <c r="E11" s="5">
        <f>C11-D11</f>
        <v>27000.0</v>
      </c>
    </row>
    <row r="12">
      <c r="A12" s="4" t="inlineStr">
        <is>
          <t>VAISHALI DHAKATE SALARY</t>
        </is>
      </c>
      <c r="B12" s="12" t="n">
        <v>3</v>
      </c>
      <c r="C12" s="5" t="n">
        <v>22348</v>
      </c>
      <c r="D12" s="5" t="n">
        <v>0</v>
      </c>
      <c r="E12" s="5">
        <f>C12-D12</f>
        <v>22348.0</v>
      </c>
    </row>
    <row r="13">
      <c r="A13" s="4" t="inlineStr">
        <is>
          <t>VRUSHALI PIMPALKAR SALARY</t>
        </is>
      </c>
      <c r="B13" s="12" t="n">
        <v>2</v>
      </c>
      <c r="C13" s="5" t="n">
        <v>19000</v>
      </c>
      <c r="D13" s="5" t="n">
        <v>0</v>
      </c>
      <c r="E13" s="5">
        <f>C13-D13</f>
        <v>19000.0</v>
      </c>
    </row>
    <row r="14">
      <c r="A14" s="4" t="inlineStr">
        <is>
          <t>CREDIT CARD</t>
        </is>
      </c>
      <c r="B14" s="12" t="n">
        <v>3</v>
      </c>
      <c r="C14" s="5" t="n">
        <v>19000</v>
      </c>
      <c r="D14" s="5" t="n">
        <v>0</v>
      </c>
      <c r="E14" s="5">
        <f>C14-D14</f>
        <v>19000.0</v>
      </c>
    </row>
    <row r="15">
      <c r="A15" s="4" t="inlineStr">
        <is>
          <t>NIKITA PAUL SALARY</t>
        </is>
      </c>
      <c r="B15" s="12" t="n">
        <v>3</v>
      </c>
      <c r="C15" s="5" t="n">
        <v>18530</v>
      </c>
      <c r="D15" s="5" t="n">
        <v>0</v>
      </c>
      <c r="E15" s="5">
        <f>C15-D15</f>
        <v>18530.0</v>
      </c>
    </row>
    <row r="16">
      <c r="A16" s="4" t="inlineStr">
        <is>
          <t>PRAJAKTA DALAL SALARY</t>
        </is>
      </c>
      <c r="B16" s="12" t="n">
        <v>1</v>
      </c>
      <c r="C16" s="5" t="n">
        <v>18082</v>
      </c>
      <c r="D16" s="5" t="n">
        <v>0</v>
      </c>
      <c r="E16" s="5">
        <f>C16-D16</f>
        <v>18082.0</v>
      </c>
    </row>
    <row r="17">
      <c r="A17" s="4" t="inlineStr">
        <is>
          <t>DIVYA THERE SALARY</t>
        </is>
      </c>
      <c r="B17" s="12" t="n">
        <v>3</v>
      </c>
      <c r="C17" s="5" t="n">
        <v>13417</v>
      </c>
      <c r="D17" s="5" t="n">
        <v>0</v>
      </c>
      <c r="E17" s="5">
        <f>C17-D17</f>
        <v>13417.0</v>
      </c>
    </row>
    <row r="18">
      <c r="A18" s="4" t="inlineStr">
        <is>
          <t>OFFICE RENT</t>
        </is>
      </c>
      <c r="B18" s="12" t="n">
        <v>3</v>
      </c>
      <c r="C18" s="5" t="n">
        <v>10800</v>
      </c>
      <c r="D18" s="5" t="n">
        <v>0</v>
      </c>
      <c r="E18" s="5">
        <f>C18-D18</f>
        <v>10800.0</v>
      </c>
    </row>
    <row r="19">
      <c r="A19" s="4" t="inlineStr">
        <is>
          <t>RAJ COMPUTER</t>
        </is>
      </c>
      <c r="B19" s="12" t="n">
        <v>5</v>
      </c>
      <c r="C19" s="5" t="n">
        <v>10350</v>
      </c>
      <c r="D19" s="5" t="n">
        <v>0</v>
      </c>
      <c r="E19" s="5">
        <f>C19-D19</f>
        <v>10350.0</v>
      </c>
    </row>
    <row r="20">
      <c r="A20" s="4" t="inlineStr">
        <is>
          <t>3 ACE INFOTECH DEGITAL MARKETING</t>
        </is>
      </c>
      <c r="B20" s="12" t="n">
        <v>1</v>
      </c>
      <c r="C20" s="5" t="n">
        <v>10000</v>
      </c>
      <c r="D20" s="5" t="n">
        <v>10000</v>
      </c>
      <c r="E20" s="5">
        <f>C20-D20</f>
        <v>0.0</v>
      </c>
    </row>
    <row r="21">
      <c r="A21" s="4" t="inlineStr">
        <is>
          <t>SAMITA NAGVANSHI SALARY</t>
        </is>
      </c>
      <c r="B21" s="12" t="n">
        <v>2</v>
      </c>
      <c r="C21" s="5" t="n">
        <v>9140</v>
      </c>
      <c r="D21" s="5" t="n">
        <v>0</v>
      </c>
      <c r="E21" s="5">
        <f>C21-D21</f>
        <v>9140.0</v>
      </c>
    </row>
    <row r="22">
      <c r="A22" s="4" t="inlineStr">
        <is>
          <t>PRIYA KOMMU SALARY</t>
        </is>
      </c>
      <c r="B22" s="12" t="n">
        <v>2</v>
      </c>
      <c r="C22" s="5" t="n">
        <v>8531</v>
      </c>
      <c r="D22" s="5" t="n">
        <v>0</v>
      </c>
      <c r="E22" s="5">
        <f>C22-D22</f>
        <v>8531.0</v>
      </c>
    </row>
    <row r="23">
      <c r="A23" s="4" t="inlineStr">
        <is>
          <t>FIZA SHEIKH SALARY</t>
        </is>
      </c>
      <c r="B23" s="12" t="n">
        <v>2</v>
      </c>
      <c r="C23" s="5" t="n">
        <v>8500</v>
      </c>
      <c r="D23" s="5" t="n">
        <v>0</v>
      </c>
      <c r="E23" s="5">
        <f>C23-D23</f>
        <v>8500.0</v>
      </c>
    </row>
    <row r="24">
      <c r="A24" s="4" t="inlineStr">
        <is>
          <t>CAPITAL EXPENDITURE</t>
        </is>
      </c>
      <c r="B24" s="12" t="n">
        <v>7</v>
      </c>
      <c r="C24" s="5" t="n">
        <v>8338.98</v>
      </c>
      <c r="D24" s="5" t="n">
        <v>0</v>
      </c>
      <c r="E24" s="5">
        <f>C24-D24</f>
        <v>8338.98</v>
      </c>
    </row>
    <row r="25">
      <c r="A25" s="4" t="inlineStr">
        <is>
          <t>PETROL</t>
        </is>
      </c>
      <c r="B25" s="12" t="n">
        <v>10</v>
      </c>
      <c r="C25" s="5" t="n">
        <v>7199</v>
      </c>
      <c r="D25" s="5" t="n">
        <v>0</v>
      </c>
      <c r="E25" s="5">
        <f>C25-D25</f>
        <v>7199.0</v>
      </c>
    </row>
    <row r="26">
      <c r="A26" s="4" t="inlineStr">
        <is>
          <t>AISENSY MARKETING</t>
        </is>
      </c>
      <c r="B26" s="12" t="n">
        <v>4</v>
      </c>
      <c r="C26" s="5" t="n">
        <v>7080</v>
      </c>
      <c r="D26" s="5" t="n">
        <v>1770</v>
      </c>
      <c r="E26" s="5">
        <f>C26-D26</f>
        <v>5310.0</v>
      </c>
    </row>
    <row r="27">
      <c r="A27" s="4" t="inlineStr">
        <is>
          <t>AKANSHA TOTAWAR SALARY</t>
        </is>
      </c>
      <c r="B27" s="12" t="n">
        <v>1</v>
      </c>
      <c r="C27" s="5" t="n">
        <v>7000</v>
      </c>
      <c r="D27" s="5" t="n">
        <v>0</v>
      </c>
      <c r="E27" s="5">
        <f>C27-D27</f>
        <v>7000.0</v>
      </c>
    </row>
    <row r="28">
      <c r="A28" s="4" t="inlineStr">
        <is>
          <t>SONALI HADASE SALARY</t>
        </is>
      </c>
      <c r="B28" s="12" t="n">
        <v>1</v>
      </c>
      <c r="C28" s="5" t="n">
        <v>7000</v>
      </c>
      <c r="D28" s="5" t="n">
        <v>0</v>
      </c>
      <c r="E28" s="5">
        <f>C28-D28</f>
        <v>7000.0</v>
      </c>
    </row>
    <row r="29">
      <c r="A29" s="4" t="inlineStr">
        <is>
          <t>YASH THERE SALARY</t>
        </is>
      </c>
      <c r="B29" s="12" t="n">
        <v>2</v>
      </c>
      <c r="C29" s="5" t="n">
        <v>6328</v>
      </c>
      <c r="D29" s="5" t="n">
        <v>0</v>
      </c>
      <c r="E29" s="5">
        <f>C29-D29</f>
        <v>6328.0</v>
      </c>
    </row>
    <row r="30">
      <c r="A30" s="4" t="inlineStr">
        <is>
          <t>SHILPA KHANDARE SALARY</t>
        </is>
      </c>
      <c r="B30" s="12" t="n">
        <v>1</v>
      </c>
      <c r="C30" s="5" t="n">
        <v>6194</v>
      </c>
      <c r="D30" s="5" t="n">
        <v>0</v>
      </c>
      <c r="E30" s="5">
        <f>C30-D30</f>
        <v>6194.0</v>
      </c>
    </row>
    <row r="31">
      <c r="A31" s="4" t="inlineStr">
        <is>
          <t>DIPAK KUDE SALARY</t>
        </is>
      </c>
      <c r="B31" s="12" t="n">
        <v>2</v>
      </c>
      <c r="C31" s="5" t="n">
        <v>6040</v>
      </c>
      <c r="D31" s="5" t="n">
        <v>0</v>
      </c>
      <c r="E31" s="5">
        <f>C31-D31</f>
        <v>6040.0</v>
      </c>
    </row>
    <row r="32">
      <c r="A32" s="4" t="inlineStr">
        <is>
          <t>TRANSPORT</t>
        </is>
      </c>
      <c r="B32" s="12" t="n">
        <v>2</v>
      </c>
      <c r="C32" s="5" t="n">
        <v>5300</v>
      </c>
      <c r="D32" s="5" t="n">
        <v>0</v>
      </c>
      <c r="E32" s="5">
        <f>C32-D32</f>
        <v>5300.0</v>
      </c>
    </row>
    <row r="33">
      <c r="A33" s="4" t="inlineStr">
        <is>
          <t>SHRAWANI KSHIRSAGAR SALARY</t>
        </is>
      </c>
      <c r="B33" s="12" t="n">
        <v>1</v>
      </c>
      <c r="C33" s="5" t="n">
        <v>4393</v>
      </c>
      <c r="D33" s="5" t="n">
        <v>0</v>
      </c>
      <c r="E33" s="5">
        <f>C33-D33</f>
        <v>4393.0</v>
      </c>
    </row>
    <row r="34">
      <c r="A34" s="4" t="inlineStr">
        <is>
          <t>OFFICE EXPENSE</t>
        </is>
      </c>
      <c r="B34" s="12" t="n">
        <v>6</v>
      </c>
      <c r="C34" s="5" t="n">
        <v>2905</v>
      </c>
      <c r="D34" s="5" t="n">
        <v>0</v>
      </c>
      <c r="E34" s="5">
        <f>C34-D34</f>
        <v>2905.0</v>
      </c>
    </row>
    <row r="35">
      <c r="A35" s="4" t="inlineStr">
        <is>
          <t>MOBILE RECHARGE</t>
        </is>
      </c>
      <c r="B35" s="12" t="n">
        <v>7</v>
      </c>
      <c r="C35" s="5" t="n">
        <v>2106.3</v>
      </c>
      <c r="D35" s="5" t="n">
        <v>300.9</v>
      </c>
      <c r="E35" s="5">
        <f>C35-D35</f>
        <v>1805.4</v>
      </c>
    </row>
    <row r="36">
      <c r="A36" s="4" t="inlineStr">
        <is>
          <t>NAVYA DISHA TRANSPORT</t>
        </is>
      </c>
      <c r="B36" s="12" t="n">
        <v>5</v>
      </c>
      <c r="C36" s="5" t="n">
        <v>1170</v>
      </c>
      <c r="D36" s="5" t="n">
        <v>320</v>
      </c>
      <c r="E36" s="5">
        <f>C36-D36</f>
        <v>850.0</v>
      </c>
    </row>
    <row r="37">
      <c r="A37" s="4" t="inlineStr">
        <is>
          <t>PAPPU SOUND</t>
        </is>
      </c>
      <c r="B37" s="12" t="n">
        <v>1</v>
      </c>
      <c r="C37" s="5" t="n">
        <v>100</v>
      </c>
      <c r="D37" s="5" t="n">
        <v>0</v>
      </c>
      <c r="E37" s="5">
        <f>C37-D37</f>
        <v>100.0</v>
      </c>
    </row>
    <row r="38">
      <c r="A38" s="4" t="inlineStr">
        <is>
          <t>SHEKHAWAT PARCEL</t>
        </is>
      </c>
      <c r="B38" s="12" t="n">
        <v>1</v>
      </c>
      <c r="C38" s="5" t="n">
        <v>70</v>
      </c>
      <c r="D38" s="5" t="n">
        <v>0</v>
      </c>
      <c r="E38" s="5">
        <f>C38-D38</f>
        <v>70.0</v>
      </c>
    </row>
    <row r="39">
      <c r="A39" s="6" t="inlineStr">
        <is>
          <t>TOTAL</t>
        </is>
      </c>
      <c r="B39" s="6">
        <f>SUM(B5:B38)</f>
        <v>142</v>
      </c>
      <c r="C39" s="7">
        <f>SUM(C5:C38)</f>
        <v>631546.28</v>
      </c>
      <c r="D39" s="7">
        <f>SUM(D5:D38)</f>
        <v>13390.9</v>
      </c>
      <c r="E39" s="7">
        <f>SUM(E5:E38)</f>
        <v>618155.38</v>
      </c>
    </row>
    <row r="42">
      <c r="A42" s="13" t="inlineStr">
        <is>
          <t>Itemized detail, by category</t>
        </is>
      </c>
    </row>
    <row r="44">
      <c r="A44" s="14" t="inlineStr">
        <is>
          <t>SANKET PIMPALKAR SALARY  (21 txns)</t>
        </is>
      </c>
      <c r="B44" s="15" t="n"/>
      <c r="C44" s="15" t="n"/>
      <c r="D44" s="16" t="inlineStr">
        <is>
          <t>Accrued:</t>
        </is>
      </c>
      <c r="E44" s="17" t="n">
        <v>148500</v>
      </c>
    </row>
    <row r="45">
      <c r="A45" s="18" t="inlineStr">
        <is>
          <t>Date</t>
        </is>
      </c>
      <c r="B45" s="18" t="inlineStr">
        <is>
          <t>Bank Description</t>
        </is>
      </c>
      <c r="C45" s="18" t="inlineStr">
        <is>
          <t>Amount</t>
        </is>
      </c>
      <c r="D45" s="18" t="inlineStr">
        <is>
          <t>Status</t>
        </is>
      </c>
      <c r="E45" s="18" t="inlineStr">
        <is>
          <t>Checked By</t>
        </is>
      </c>
    </row>
    <row r="46">
      <c r="A46" s="4" t="inlineStr">
        <is>
          <t>2026-07-25</t>
        </is>
      </c>
      <c r="B46" s="4" t="inlineStr">
        <is>
          <t>UPI/620664292146/SANKET MOHANDAS PIMPALKAR</t>
        </is>
      </c>
      <c r="C46" s="5" t="n">
        <v>12000</v>
      </c>
      <c r="D46" s="19" t="inlineStr">
        <is>
          <t>UNPAID</t>
        </is>
      </c>
      <c r="E46" s="4" t="inlineStr"/>
    </row>
    <row r="47">
      <c r="A47" s="4" t="inlineStr">
        <is>
          <t>2026-07-25</t>
        </is>
      </c>
      <c r="B47" s="4" t="inlineStr">
        <is>
          <t>nfs/PBB CHANDRAPUR ATM CHANDRAPUR MHIN</t>
        </is>
      </c>
      <c r="C47" s="5" t="n">
        <v>2000</v>
      </c>
      <c r="D47" s="19" t="inlineStr">
        <is>
          <t>UNPAID</t>
        </is>
      </c>
      <c r="E47" s="4" t="inlineStr"/>
    </row>
    <row r="48">
      <c r="A48" s="4" t="inlineStr">
        <is>
          <t>2026-07-25</t>
        </is>
      </c>
      <c r="B48" s="4" t="inlineStr">
        <is>
          <t>UPI/657282909949/SANKET MOHANDAS PIMPALKAR</t>
        </is>
      </c>
      <c r="C48" s="5" t="n">
        <v>4000</v>
      </c>
      <c r="D48" s="19" t="inlineStr">
        <is>
          <t>UNPAID</t>
        </is>
      </c>
      <c r="E48" s="4" t="inlineStr"/>
    </row>
    <row r="49">
      <c r="A49" s="4" t="inlineStr">
        <is>
          <t>2026-07-23</t>
        </is>
      </c>
      <c r="B49" s="4" t="inlineStr">
        <is>
          <t>nfs/RAMNAGAR BOKARE LAYOUT CHANDRAPUR</t>
        </is>
      </c>
      <c r="C49" s="5" t="n">
        <v>1000</v>
      </c>
      <c r="D49" s="20" t="inlineStr">
        <is>
          <t>PAID</t>
        </is>
      </c>
      <c r="E49" s="4" t="inlineStr">
        <is>
          <t>Sanket</t>
        </is>
      </c>
    </row>
    <row r="50">
      <c r="A50" s="4" t="inlineStr">
        <is>
          <t>2026-07-19</t>
        </is>
      </c>
      <c r="B50" s="4" t="inlineStr">
        <is>
          <t>UPI/656797726746/SANKET MOHANDAS PIMPALKAR</t>
        </is>
      </c>
      <c r="C50" s="5" t="n">
        <v>12500</v>
      </c>
      <c r="D50" s="19" t="inlineStr">
        <is>
          <t>UNPAID</t>
        </is>
      </c>
      <c r="E50" s="4" t="inlineStr"/>
    </row>
    <row r="51">
      <c r="A51" s="4" t="inlineStr">
        <is>
          <t>2026-07-17</t>
        </is>
      </c>
      <c r="B51" s="4" t="inlineStr">
        <is>
          <t>UPI/656507472648/SANKET MOHANDAS PIMPALKAR</t>
        </is>
      </c>
      <c r="C51" s="5" t="n">
        <v>1000</v>
      </c>
      <c r="D51" s="19" t="inlineStr">
        <is>
          <t>UNPAID</t>
        </is>
      </c>
      <c r="E51" s="4" t="inlineStr"/>
    </row>
    <row r="52">
      <c r="A52" s="4" t="inlineStr">
        <is>
          <t>2026-07-17</t>
        </is>
      </c>
      <c r="B52" s="4" t="inlineStr">
        <is>
          <t>nfs/NEAR DISTRICT STADIUM CHANDRAPUR</t>
        </is>
      </c>
      <c r="C52" s="5" t="n">
        <v>1000</v>
      </c>
      <c r="D52" s="19" t="inlineStr">
        <is>
          <t>UNPAID</t>
        </is>
      </c>
      <c r="E52" s="4" t="inlineStr"/>
    </row>
    <row r="53">
      <c r="A53" s="4" t="inlineStr">
        <is>
          <t>2026-07-16</t>
        </is>
      </c>
      <c r="B53" s="4" t="inlineStr">
        <is>
          <t>UPI/619771521810/SANKET MOHANDAS PIMPALKAR</t>
        </is>
      </c>
      <c r="C53" s="5" t="n">
        <v>3000</v>
      </c>
      <c r="D53" s="19" t="inlineStr">
        <is>
          <t>UNPAID</t>
        </is>
      </c>
      <c r="E53" s="4" t="inlineStr"/>
    </row>
    <row r="54">
      <c r="A54" s="4" t="inlineStr">
        <is>
          <t>2026-07-15</t>
        </is>
      </c>
      <c r="B54" s="4" t="inlineStr">
        <is>
          <t>UPI/656215819747/shubhangipimpalkar</t>
        </is>
      </c>
      <c r="C54" s="5" t="n">
        <v>4000</v>
      </c>
      <c r="D54" s="19" t="inlineStr">
        <is>
          <t>UNPAID</t>
        </is>
      </c>
      <c r="E54" s="4" t="inlineStr"/>
    </row>
    <row r="55">
      <c r="A55" s="4" t="inlineStr">
        <is>
          <t>2026-07-14</t>
        </is>
      </c>
      <c r="B55" s="4" t="inlineStr">
        <is>
          <t>UPI/619547688590/SANKET MOHANDAS PIMPALKAR</t>
        </is>
      </c>
      <c r="C55" s="5" t="n">
        <v>19000</v>
      </c>
      <c r="D55" s="19" t="inlineStr">
        <is>
          <t>UNPAID</t>
        </is>
      </c>
      <c r="E55" s="4" t="inlineStr"/>
    </row>
    <row r="56">
      <c r="A56" s="4" t="inlineStr">
        <is>
          <t>2026-07-13</t>
        </is>
      </c>
      <c r="B56" s="4" t="inlineStr">
        <is>
          <t>UPI/619564660216/SANKET MOHANDAS PIMPALKAR</t>
        </is>
      </c>
      <c r="C56" s="5" t="n">
        <v>5000</v>
      </c>
      <c r="D56" s="19" t="inlineStr">
        <is>
          <t>UNPAID</t>
        </is>
      </c>
      <c r="E56" s="4" t="inlineStr"/>
    </row>
    <row r="57">
      <c r="A57" s="4" t="inlineStr">
        <is>
          <t>2026-07-12</t>
        </is>
      </c>
      <c r="B57" s="4" t="inlineStr">
        <is>
          <t>UPI/656066165391/SANKET MOHANDAS PIMPALKAR</t>
        </is>
      </c>
      <c r="C57" s="5" t="n">
        <v>19000</v>
      </c>
      <c r="D57" s="19" t="inlineStr">
        <is>
          <t>UNPAID</t>
        </is>
      </c>
      <c r="E57" s="4" t="inlineStr"/>
    </row>
    <row r="58">
      <c r="A58" s="4" t="inlineStr">
        <is>
          <t>2026-07-10</t>
        </is>
      </c>
      <c r="B58" s="4" t="inlineStr">
        <is>
          <t>UPI/655762333074/SANKET MOHANDAS PIMPALKAR</t>
        </is>
      </c>
      <c r="C58" s="5" t="n">
        <v>5000</v>
      </c>
      <c r="D58" s="19" t="inlineStr">
        <is>
          <t>UNPAID</t>
        </is>
      </c>
      <c r="E58" s="4" t="inlineStr"/>
    </row>
    <row r="59">
      <c r="A59" s="4" t="inlineStr">
        <is>
          <t>2026-07-08</t>
        </is>
      </c>
      <c r="B59" s="4" t="inlineStr">
        <is>
          <t>UPI/619046244884/SANKET MOHANDAS PIMPALKAR</t>
        </is>
      </c>
      <c r="C59" s="5" t="n">
        <v>10000</v>
      </c>
      <c r="D59" s="19" t="inlineStr">
        <is>
          <t>UNPAID</t>
        </is>
      </c>
      <c r="E59" s="4" t="inlineStr"/>
    </row>
    <row r="60">
      <c r="A60" s="4" t="inlineStr">
        <is>
          <t>2026-07-08</t>
        </is>
      </c>
      <c r="B60" s="4" t="inlineStr">
        <is>
          <t>UPI/655599471468/SANKET MOHANDAS PIMPALKAR</t>
        </is>
      </c>
      <c r="C60" s="5" t="n">
        <v>10000</v>
      </c>
      <c r="D60" s="19" t="inlineStr">
        <is>
          <t>UNPAID</t>
        </is>
      </c>
      <c r="E60" s="4" t="inlineStr"/>
    </row>
    <row r="61">
      <c r="A61" s="4" t="inlineStr">
        <is>
          <t>2026-07-07</t>
        </is>
      </c>
      <c r="B61" s="4" t="inlineStr">
        <is>
          <t>UPI/618859285424/SANKET MOHANDAS PIMPALKAR</t>
        </is>
      </c>
      <c r="C61" s="5" t="n">
        <v>10000</v>
      </c>
      <c r="D61" s="19" t="inlineStr">
        <is>
          <t>UNPAID</t>
        </is>
      </c>
      <c r="E61" s="4" t="inlineStr"/>
    </row>
    <row r="62">
      <c r="A62" s="4" t="inlineStr">
        <is>
          <t>2026-07-06</t>
        </is>
      </c>
      <c r="B62" s="4" t="inlineStr">
        <is>
          <t>UPI/655396185467/SANKET MOHANDAS PIMPALKAR</t>
        </is>
      </c>
      <c r="C62" s="5" t="n">
        <v>5000</v>
      </c>
      <c r="D62" s="19" t="inlineStr">
        <is>
          <t>UNPAID</t>
        </is>
      </c>
      <c r="E62" s="4" t="inlineStr"/>
    </row>
    <row r="63">
      <c r="A63" s="4" t="inlineStr">
        <is>
          <t>2026-07-06</t>
        </is>
      </c>
      <c r="B63" s="4" t="inlineStr">
        <is>
          <t>UPI/618756030363/SANKET MOHANDAS PIMPALKAR</t>
        </is>
      </c>
      <c r="C63" s="5" t="n">
        <v>10000</v>
      </c>
      <c r="D63" s="19" t="inlineStr">
        <is>
          <t>UNPAID</t>
        </is>
      </c>
      <c r="E63" s="4" t="inlineStr"/>
    </row>
    <row r="64">
      <c r="A64" s="4" t="inlineStr">
        <is>
          <t>2026-07-05</t>
        </is>
      </c>
      <c r="B64" s="4" t="inlineStr">
        <is>
          <t>nfs/RAHMAT NAGAR CHANDRAPUR</t>
        </is>
      </c>
      <c r="C64" s="5" t="n">
        <v>2000</v>
      </c>
      <c r="D64" s="19" t="inlineStr">
        <is>
          <t>UNPAID</t>
        </is>
      </c>
      <c r="E64" s="4" t="inlineStr"/>
    </row>
    <row r="65">
      <c r="A65" s="4" t="inlineStr">
        <is>
          <t>2026-07-05</t>
        </is>
      </c>
      <c r="B65" s="4" t="inlineStr">
        <is>
          <t>nfs/URJA NAGAR CHANDRAPUR</t>
        </is>
      </c>
      <c r="C65" s="5" t="n">
        <v>3000</v>
      </c>
      <c r="D65" s="19" t="inlineStr">
        <is>
          <t>UNPAID</t>
        </is>
      </c>
      <c r="E65" s="4" t="inlineStr"/>
    </row>
    <row r="66">
      <c r="A66" s="4" t="inlineStr">
        <is>
          <t>2026-07-03</t>
        </is>
      </c>
      <c r="B66" s="4" t="inlineStr">
        <is>
          <t>UPI/618567952806/SANKET MOHANDAS PIMPALKAR</t>
        </is>
      </c>
      <c r="C66" s="5" t="n">
        <v>10000</v>
      </c>
      <c r="D66" s="19" t="inlineStr">
        <is>
          <t>UNPAID</t>
        </is>
      </c>
      <c r="E66" s="4" t="inlineStr"/>
    </row>
    <row r="68">
      <c r="A68" s="14" t="inlineStr">
        <is>
          <t>BIGSHIP RECHARGE  (5 txns)</t>
        </is>
      </c>
      <c r="B68" s="15" t="n"/>
      <c r="C68" s="15" t="n"/>
      <c r="D68" s="16" t="inlineStr">
        <is>
          <t>Accrued:</t>
        </is>
      </c>
      <c r="E68" s="17" t="n">
        <v>75000</v>
      </c>
    </row>
    <row r="69">
      <c r="A69" s="18" t="inlineStr">
        <is>
          <t>Date</t>
        </is>
      </c>
      <c r="B69" s="18" t="inlineStr">
        <is>
          <t>Bank Description</t>
        </is>
      </c>
      <c r="C69" s="18" t="inlineStr">
        <is>
          <t>Amount</t>
        </is>
      </c>
      <c r="D69" s="18" t="inlineStr">
        <is>
          <t>Status</t>
        </is>
      </c>
      <c r="E69" s="18" t="inlineStr">
        <is>
          <t>Checked By</t>
        </is>
      </c>
    </row>
    <row r="70">
      <c r="A70" s="4" t="inlineStr">
        <is>
          <t>2026-07-23</t>
        </is>
      </c>
      <c r="B70" s="4" t="inlineStr">
        <is>
          <t>UPI/620541124649/Bigshipin</t>
        </is>
      </c>
      <c r="C70" s="5" t="n">
        <v>15000</v>
      </c>
      <c r="D70" s="19" t="inlineStr">
        <is>
          <t>UNPAID</t>
        </is>
      </c>
      <c r="E70" s="4" t="inlineStr">
        <is>
          <t>PRAJAKTA</t>
        </is>
      </c>
    </row>
    <row r="71">
      <c r="A71" s="4" t="inlineStr">
        <is>
          <t>2026-07-17</t>
        </is>
      </c>
      <c r="B71" s="4" t="inlineStr">
        <is>
          <t>UPI/656538888234/Bigshipin</t>
        </is>
      </c>
      <c r="C71" s="5" t="n">
        <v>15000</v>
      </c>
      <c r="D71" s="19" t="inlineStr">
        <is>
          <t>UNPAID</t>
        </is>
      </c>
      <c r="E71" s="4" t="inlineStr"/>
    </row>
    <row r="72">
      <c r="A72" s="4" t="inlineStr">
        <is>
          <t>2026-07-13</t>
        </is>
      </c>
      <c r="B72" s="4" t="inlineStr">
        <is>
          <t>UPI/619560145234/Bigshipin</t>
        </is>
      </c>
      <c r="C72" s="5" t="n">
        <v>15000</v>
      </c>
      <c r="D72" s="19" t="inlineStr">
        <is>
          <t>UNPAID</t>
        </is>
      </c>
      <c r="E72" s="4" t="inlineStr"/>
    </row>
    <row r="73">
      <c r="A73" s="4" t="inlineStr">
        <is>
          <t>2026-07-08</t>
        </is>
      </c>
      <c r="B73" s="4" t="inlineStr">
        <is>
          <t>UPI/655568536112/Bigshipin</t>
        </is>
      </c>
      <c r="C73" s="5" t="n">
        <v>15000</v>
      </c>
      <c r="D73" s="19" t="inlineStr">
        <is>
          <t>UNPAID</t>
        </is>
      </c>
      <c r="E73" s="4" t="inlineStr"/>
    </row>
    <row r="74">
      <c r="A74" s="4" t="inlineStr">
        <is>
          <t>2026-07-02</t>
        </is>
      </c>
      <c r="B74" s="4" t="inlineStr">
        <is>
          <t>UPI/618396761991/Bigshipin</t>
        </is>
      </c>
      <c r="C74" s="5" t="n">
        <v>15000</v>
      </c>
      <c r="D74" s="19" t="inlineStr">
        <is>
          <t>UNPAID</t>
        </is>
      </c>
      <c r="E74" s="4" t="inlineStr"/>
    </row>
    <row r="76">
      <c r="A76" s="14" t="inlineStr">
        <is>
          <t>BANK TRANSFER  (1 txn)</t>
        </is>
      </c>
      <c r="B76" s="15" t="n"/>
      <c r="C76" s="15" t="n"/>
      <c r="D76" s="16" t="inlineStr">
        <is>
          <t>Accrued:</t>
        </is>
      </c>
      <c r="E76" s="17" t="n">
        <v>45022</v>
      </c>
    </row>
    <row r="77">
      <c r="A77" s="18" t="inlineStr">
        <is>
          <t>Date</t>
        </is>
      </c>
      <c r="B77" s="18" t="inlineStr">
        <is>
          <t>Bank Description</t>
        </is>
      </c>
      <c r="C77" s="18" t="inlineStr">
        <is>
          <t>Amount</t>
        </is>
      </c>
      <c r="D77" s="18" t="inlineStr">
        <is>
          <t>Status</t>
        </is>
      </c>
      <c r="E77" s="18" t="inlineStr">
        <is>
          <t>Checked By</t>
        </is>
      </c>
    </row>
    <row r="78">
      <c r="A78" s="4" t="inlineStr">
        <is>
          <t>2026-07-19</t>
        </is>
      </c>
      <c r="B78" s="4" t="inlineStr">
        <is>
          <t>INET/0513102000013378To0513651</t>
        </is>
      </c>
      <c r="C78" s="5" t="n">
        <v>45022</v>
      </c>
      <c r="D78" s="19" t="inlineStr">
        <is>
          <t>UNPAID</t>
        </is>
      </c>
      <c r="E78" s="4" t="inlineStr"/>
    </row>
    <row r="80">
      <c r="A80" s="14" t="inlineStr">
        <is>
          <t>(none)  (24 txns)</t>
        </is>
      </c>
      <c r="B80" s="15" t="n"/>
      <c r="C80" s="15" t="n"/>
      <c r="D80" s="16" t="inlineStr">
        <is>
          <t>Accrued:</t>
        </is>
      </c>
      <c r="E80" s="17" t="n">
        <v>37293</v>
      </c>
    </row>
    <row r="81">
      <c r="A81" s="18" t="inlineStr">
        <is>
          <t>Date</t>
        </is>
      </c>
      <c r="B81" s="18" t="inlineStr">
        <is>
          <t>Bank Description</t>
        </is>
      </c>
      <c r="C81" s="18" t="inlineStr">
        <is>
          <t>Amount</t>
        </is>
      </c>
      <c r="D81" s="18" t="inlineStr">
        <is>
          <t>Status</t>
        </is>
      </c>
      <c r="E81" s="18" t="inlineStr">
        <is>
          <t>Checked By</t>
        </is>
      </c>
    </row>
    <row r="82">
      <c r="A82" s="4" t="inlineStr">
        <is>
          <t>2026-07-21</t>
        </is>
      </c>
      <c r="B82" s="4" t="inlineStr">
        <is>
          <t>UPI/620351287615/ASHWINI SHRIRAM CHIWANDE</t>
        </is>
      </c>
      <c r="C82" s="5" t="n">
        <v>210</v>
      </c>
      <c r="D82" s="19" t="inlineStr">
        <is>
          <t>UNPAID</t>
        </is>
      </c>
      <c r="E82" s="4" t="inlineStr">
        <is>
          <t>PRAJAKTA</t>
        </is>
      </c>
    </row>
    <row r="83">
      <c r="A83" s="4" t="inlineStr">
        <is>
          <t>2026-07-17</t>
        </is>
      </c>
      <c r="B83" s="4" t="inlineStr">
        <is>
          <t>UPI/656435409423/Mrs SEYJADI A</t>
        </is>
      </c>
      <c r="C83" s="5" t="n">
        <v>120</v>
      </c>
      <c r="D83" s="19" t="inlineStr">
        <is>
          <t>UNPAID</t>
        </is>
      </c>
      <c r="E83" s="4" t="inlineStr"/>
    </row>
    <row r="84">
      <c r="A84" s="4" t="inlineStr">
        <is>
          <t>2026-07-16</t>
        </is>
      </c>
      <c r="B84" s="4" t="inlineStr">
        <is>
          <t>UPI/656493317883/Samarth Book</t>
        </is>
      </c>
      <c r="C84" s="5" t="n">
        <v>170</v>
      </c>
      <c r="D84" s="19" t="inlineStr">
        <is>
          <t>UNPAID</t>
        </is>
      </c>
      <c r="E84" s="4" t="inlineStr"/>
    </row>
    <row r="85">
      <c r="A85" s="4" t="inlineStr">
        <is>
          <t>2026-07-15</t>
        </is>
      </c>
      <c r="B85" s="4" t="inlineStr">
        <is>
          <t>UPI/619731313640/OCEAN PHARMACY</t>
        </is>
      </c>
      <c r="C85" s="5" t="n">
        <v>550</v>
      </c>
      <c r="D85" s="19" t="inlineStr">
        <is>
          <t>UNPAID</t>
        </is>
      </c>
      <c r="E85" s="4" t="inlineStr"/>
    </row>
    <row r="86">
      <c r="A86" s="4" t="inlineStr">
        <is>
          <t>2026-07-15</t>
        </is>
      </c>
      <c r="B86" s="4" t="inlineStr">
        <is>
          <t>UPI/656257533406/9545988003 ptyes</t>
        </is>
      </c>
      <c r="C86" s="5" t="n">
        <v>4000</v>
      </c>
      <c r="D86" s="19" t="inlineStr">
        <is>
          <t>UNPAID</t>
        </is>
      </c>
      <c r="E86" s="4" t="inlineStr"/>
    </row>
    <row r="87">
      <c r="A87" s="4" t="inlineStr">
        <is>
          <t>2026-07-14</t>
        </is>
      </c>
      <c r="B87" s="4" t="inlineStr">
        <is>
          <t>UPI/656269518746/DEEPALI VINOD</t>
        </is>
      </c>
      <c r="C87" s="5" t="n">
        <v>850</v>
      </c>
      <c r="D87" s="19" t="inlineStr">
        <is>
          <t>UNPAID</t>
        </is>
      </c>
      <c r="E87" s="4" t="inlineStr"/>
    </row>
    <row r="88">
      <c r="A88" s="4" t="inlineStr">
        <is>
          <t>2026-07-13</t>
        </is>
      </c>
      <c r="B88" s="4" t="inlineStr">
        <is>
          <t>UPI/619522028712/SYED FAROOQ H</t>
        </is>
      </c>
      <c r="C88" s="5" t="n">
        <v>1000</v>
      </c>
      <c r="D88" s="19" t="inlineStr">
        <is>
          <t>UNPAID</t>
        </is>
      </c>
      <c r="E88" s="4" t="inlineStr"/>
    </row>
    <row r="89">
      <c r="A89" s="4" t="inlineStr">
        <is>
          <t>2026-07-12</t>
        </is>
      </c>
      <c r="B89" s="4" t="inlineStr">
        <is>
          <t>UPI/656019081313/ekart</t>
        </is>
      </c>
      <c r="C89" s="5" t="n">
        <v>5354</v>
      </c>
      <c r="D89" s="19" t="inlineStr">
        <is>
          <t>UNPAID</t>
        </is>
      </c>
      <c r="E89" s="4" t="inlineStr"/>
    </row>
    <row r="90">
      <c r="A90" s="4" t="inlineStr">
        <is>
          <t>2026-07-09</t>
        </is>
      </c>
      <c r="B90" s="4" t="inlineStr">
        <is>
          <t>ID051312/09-07-26 20:36:00</t>
        </is>
      </c>
      <c r="C90" s="5" t="n">
        <v>5000</v>
      </c>
      <c r="D90" s="19" t="inlineStr">
        <is>
          <t>UNPAID</t>
        </is>
      </c>
      <c r="E90" s="4" t="inlineStr"/>
    </row>
    <row r="91">
      <c r="A91" s="4" t="inlineStr">
        <is>
          <t>2026-07-09</t>
        </is>
      </c>
      <c r="B91" s="4" t="inlineStr">
        <is>
          <t>UPI/619063852515/TRUPTI SHUBHA</t>
        </is>
      </c>
      <c r="C91" s="5" t="n">
        <v>1100</v>
      </c>
      <c r="D91" s="19" t="inlineStr">
        <is>
          <t>UNPAID</t>
        </is>
      </c>
      <c r="E91" s="4" t="inlineStr"/>
    </row>
    <row r="92">
      <c r="A92" s="4" t="inlineStr">
        <is>
          <t>2026-07-08</t>
        </is>
      </c>
      <c r="B92" s="4" t="inlineStr">
        <is>
          <t>UPI/655593840681/TRUPTI SHUBHA</t>
        </is>
      </c>
      <c r="C92" s="5" t="n">
        <v>700</v>
      </c>
      <c r="D92" s="19" t="inlineStr">
        <is>
          <t>UNPAID</t>
        </is>
      </c>
      <c r="E92" s="4" t="inlineStr"/>
    </row>
    <row r="93">
      <c r="A93" s="4" t="inlineStr">
        <is>
          <t>2026-07-08</t>
        </is>
      </c>
      <c r="B93" s="4" t="inlineStr">
        <is>
          <t>ID051312/08-07-26 21:54:13</t>
        </is>
      </c>
      <c r="C93" s="5" t="n">
        <v>5000</v>
      </c>
      <c r="D93" s="19" t="inlineStr">
        <is>
          <t>UNPAID</t>
        </is>
      </c>
      <c r="E93" s="4" t="inlineStr"/>
    </row>
    <row r="94">
      <c r="A94" s="4" t="inlineStr">
        <is>
          <t>2026-07-08</t>
        </is>
      </c>
      <c r="B94" s="4" t="inlineStr">
        <is>
          <t>UPI/655590174680/Ashok Chandra</t>
        </is>
      </c>
      <c r="C94" s="5" t="n">
        <v>30</v>
      </c>
      <c r="D94" s="19" t="inlineStr">
        <is>
          <t>UNPAID</t>
        </is>
      </c>
      <c r="E94" s="4" t="inlineStr"/>
    </row>
    <row r="95">
      <c r="A95" s="4" t="inlineStr">
        <is>
          <t>2026-07-08</t>
        </is>
      </c>
      <c r="B95" s="4" t="inlineStr">
        <is>
          <t>UPI/655513485319/nileshastunka</t>
        </is>
      </c>
      <c r="C95" s="5" t="n">
        <v>100</v>
      </c>
      <c r="D95" s="19" t="inlineStr">
        <is>
          <t>UNPAID</t>
        </is>
      </c>
      <c r="E95" s="4" t="inlineStr"/>
    </row>
    <row r="96">
      <c r="A96" s="4" t="inlineStr">
        <is>
          <t>2026-07-06</t>
        </is>
      </c>
      <c r="B96" s="4" t="inlineStr">
        <is>
          <t>UPI/655468300339/ZEE BAZAR</t>
        </is>
      </c>
      <c r="C96" s="5" t="n">
        <v>665</v>
      </c>
      <c r="D96" s="19" t="inlineStr">
        <is>
          <t>UNPAID</t>
        </is>
      </c>
      <c r="E96" s="4" t="inlineStr"/>
    </row>
    <row r="97">
      <c r="A97" s="4" t="inlineStr">
        <is>
          <t>2026-07-06</t>
        </is>
      </c>
      <c r="B97" s="4" t="inlineStr">
        <is>
          <t>UPI/231404711886/Google Play</t>
        </is>
      </c>
      <c r="C97" s="5" t="n">
        <v>59</v>
      </c>
      <c r="D97" s="19" t="inlineStr">
        <is>
          <t>UNPAID</t>
        </is>
      </c>
      <c r="E97" s="4" t="inlineStr"/>
    </row>
    <row r="98">
      <c r="A98" s="4" t="inlineStr">
        <is>
          <t>2026-07-05</t>
        </is>
      </c>
      <c r="B98" s="4" t="inlineStr">
        <is>
          <t>UPI/655323198277/7038684070 ptyes</t>
        </is>
      </c>
      <c r="C98" s="5" t="n">
        <v>400</v>
      </c>
      <c r="D98" s="19" t="inlineStr">
        <is>
          <t>UNPAID</t>
        </is>
      </c>
      <c r="E98" s="4" t="inlineStr"/>
    </row>
    <row r="99">
      <c r="A99" s="4" t="inlineStr">
        <is>
          <t>2026-07-03</t>
        </is>
      </c>
      <c r="B99" s="4" t="inlineStr">
        <is>
          <t>UPI/618511727569/SHRI SAI KIRANA</t>
        </is>
      </c>
      <c r="C99" s="5" t="n">
        <v>50</v>
      </c>
      <c r="D99" s="19" t="inlineStr">
        <is>
          <t>UNPAID</t>
        </is>
      </c>
      <c r="E99" s="4" t="inlineStr"/>
    </row>
    <row r="100">
      <c r="A100" s="4" t="inlineStr">
        <is>
          <t>2026-07-03</t>
        </is>
      </c>
      <c r="B100" s="4" t="inlineStr">
        <is>
          <t>UPI/618508739882/PRIYANSHU LAL</t>
        </is>
      </c>
      <c r="C100" s="5" t="n">
        <v>305</v>
      </c>
      <c r="D100" s="19" t="inlineStr">
        <is>
          <t>UNPAID</t>
        </is>
      </c>
      <c r="E100" s="4" t="inlineStr"/>
    </row>
    <row r="101">
      <c r="A101" s="4" t="inlineStr">
        <is>
          <t>2026-07-02</t>
        </is>
      </c>
      <c r="B101" s="4" t="inlineStr">
        <is>
          <t>UPI/655029069923/Mr NITIN WAMAN</t>
        </is>
      </c>
      <c r="C101" s="5" t="n">
        <v>40</v>
      </c>
      <c r="D101" s="19" t="inlineStr">
        <is>
          <t>UNPAID</t>
        </is>
      </c>
      <c r="E101" s="4" t="inlineStr"/>
    </row>
    <row r="102">
      <c r="A102" s="4" t="inlineStr">
        <is>
          <t>2026-07-02</t>
        </is>
      </c>
      <c r="B102" s="4" t="inlineStr">
        <is>
          <t>UPI/618380291555/MOHAN LAL GUR</t>
        </is>
      </c>
      <c r="C102" s="5" t="n">
        <v>300</v>
      </c>
      <c r="D102" s="19" t="inlineStr">
        <is>
          <t>UNPAID</t>
        </is>
      </c>
      <c r="E102" s="4" t="inlineStr"/>
    </row>
    <row r="103">
      <c r="A103" s="4" t="inlineStr">
        <is>
          <t>2026-07-01</t>
        </is>
      </c>
      <c r="B103" s="4" t="inlineStr">
        <is>
          <t>IMPS/618219409218/Prajakta/MAH</t>
        </is>
      </c>
      <c r="C103" s="5" t="n">
        <v>10000</v>
      </c>
      <c r="D103" s="19" t="inlineStr">
        <is>
          <t>UNPAID</t>
        </is>
      </c>
      <c r="E103" s="4" t="inlineStr"/>
    </row>
    <row r="104">
      <c r="A104" s="4" t="inlineStr">
        <is>
          <t>2026-07-01</t>
        </is>
      </c>
      <c r="B104" s="4" t="inlineStr">
        <is>
          <t>ID051312/01-07-26 19:34:30</t>
        </is>
      </c>
      <c r="C104" s="5" t="n">
        <v>1000</v>
      </c>
      <c r="D104" s="19" t="inlineStr">
        <is>
          <t>UNPAID</t>
        </is>
      </c>
      <c r="E104" s="4" t="inlineStr"/>
    </row>
    <row r="105">
      <c r="A105" s="4" t="inlineStr">
        <is>
          <t>2026-07-01</t>
        </is>
      </c>
      <c r="B105" s="4" t="inlineStr">
        <is>
          <t>UPI/618223425407/Sayyed Waseem</t>
        </is>
      </c>
      <c r="C105" s="5" t="n">
        <v>290</v>
      </c>
      <c r="D105" s="19" t="inlineStr">
        <is>
          <t>UNPAID</t>
        </is>
      </c>
      <c r="E105" s="4" t="inlineStr"/>
    </row>
    <row r="107">
      <c r="A107" s="14" t="inlineStr">
        <is>
          <t>RITU GHOSH SALARY  (1 txn)</t>
        </is>
      </c>
      <c r="B107" s="15" t="n"/>
      <c r="C107" s="15" t="n"/>
      <c r="D107" s="16" t="inlineStr">
        <is>
          <t>Accrued:</t>
        </is>
      </c>
      <c r="E107" s="17" t="n">
        <v>31546</v>
      </c>
    </row>
    <row r="108">
      <c r="A108" s="18" t="inlineStr">
        <is>
          <t>Date</t>
        </is>
      </c>
      <c r="B108" s="18" t="inlineStr">
        <is>
          <t>Bank Description</t>
        </is>
      </c>
      <c r="C108" s="18" t="inlineStr">
        <is>
          <t>Amount</t>
        </is>
      </c>
      <c r="D108" s="18" t="inlineStr">
        <is>
          <t>Status</t>
        </is>
      </c>
      <c r="E108" s="18" t="inlineStr">
        <is>
          <t>Checked By</t>
        </is>
      </c>
    </row>
    <row r="109">
      <c r="A109" s="4" t="inlineStr">
        <is>
          <t>2026-07-03</t>
        </is>
      </c>
      <c r="B109" s="4" t="inlineStr">
        <is>
          <t>UPI/655079151643/RITU KISHOR GHOSH</t>
        </is>
      </c>
      <c r="C109" s="5" t="n">
        <v>31546</v>
      </c>
      <c r="D109" s="19" t="inlineStr">
        <is>
          <t>UNPAID</t>
        </is>
      </c>
      <c r="E109" s="4" t="inlineStr"/>
    </row>
    <row r="111">
      <c r="A111" s="14" t="inlineStr">
        <is>
          <t>GULFAM QURESHI SALARY  (4 txns)</t>
        </is>
      </c>
      <c r="B111" s="15" t="n"/>
      <c r="C111" s="15" t="n"/>
      <c r="D111" s="16" t="inlineStr">
        <is>
          <t>Accrued:</t>
        </is>
      </c>
      <c r="E111" s="17" t="n">
        <v>28263</v>
      </c>
    </row>
    <row r="112">
      <c r="A112" s="18" t="inlineStr">
        <is>
          <t>Date</t>
        </is>
      </c>
      <c r="B112" s="18" t="inlineStr">
        <is>
          <t>Bank Description</t>
        </is>
      </c>
      <c r="C112" s="18" t="inlineStr">
        <is>
          <t>Amount</t>
        </is>
      </c>
      <c r="D112" s="18" t="inlineStr">
        <is>
          <t>Status</t>
        </is>
      </c>
      <c r="E112" s="18" t="inlineStr">
        <is>
          <t>Checked By</t>
        </is>
      </c>
    </row>
    <row r="113">
      <c r="A113" s="4" t="inlineStr">
        <is>
          <t>2026-07-21</t>
        </is>
      </c>
      <c r="B113" s="4" t="inlineStr">
        <is>
          <t>UPI/620267518795/GULFAM FAHIM</t>
        </is>
      </c>
      <c r="C113" s="5" t="n">
        <v>4263</v>
      </c>
      <c r="D113" s="19" t="inlineStr">
        <is>
          <t>UNPAID</t>
        </is>
      </c>
      <c r="E113" s="4" t="inlineStr"/>
    </row>
    <row r="114">
      <c r="A114" s="4" t="inlineStr">
        <is>
          <t>2026-07-21</t>
        </is>
      </c>
      <c r="B114" s="4" t="inlineStr">
        <is>
          <t>UPI/620290826841/GULFAM FAHIM</t>
        </is>
      </c>
      <c r="C114" s="5" t="n">
        <v>4000</v>
      </c>
      <c r="D114" s="19" t="inlineStr">
        <is>
          <t>UNPAID</t>
        </is>
      </c>
      <c r="E114" s="4" t="inlineStr"/>
    </row>
    <row r="115">
      <c r="A115" s="4" t="inlineStr">
        <is>
          <t>2026-07-20</t>
        </is>
      </c>
      <c r="B115" s="4" t="inlineStr">
        <is>
          <t>UPI/620283608991/GULFAM FAHIM</t>
        </is>
      </c>
      <c r="C115" s="5" t="n">
        <v>10000</v>
      </c>
      <c r="D115" s="19" t="inlineStr">
        <is>
          <t>UNPAID</t>
        </is>
      </c>
      <c r="E115" s="4" t="inlineStr"/>
    </row>
    <row r="116">
      <c r="A116" s="4" t="inlineStr">
        <is>
          <t>2026-07-20</t>
        </is>
      </c>
      <c r="B116" s="4" t="inlineStr">
        <is>
          <t>UPI/656880086894/GULFAM FAHIM</t>
        </is>
      </c>
      <c r="C116" s="5" t="n">
        <v>10000</v>
      </c>
      <c r="D116" s="19" t="inlineStr">
        <is>
          <t>UNPAID</t>
        </is>
      </c>
      <c r="E116" s="4" t="inlineStr"/>
    </row>
    <row r="118">
      <c r="A118" s="14" t="inlineStr">
        <is>
          <t>SANDIP ZAGADKAR SALARY  (5 txns)</t>
        </is>
      </c>
      <c r="B118" s="15" t="n"/>
      <c r="C118" s="15" t="n"/>
      <c r="D118" s="16" t="inlineStr">
        <is>
          <t>Accrued:</t>
        </is>
      </c>
      <c r="E118" s="17" t="n">
        <v>27000</v>
      </c>
    </row>
    <row r="119">
      <c r="A119" s="18" t="inlineStr">
        <is>
          <t>Date</t>
        </is>
      </c>
      <c r="B119" s="18" t="inlineStr">
        <is>
          <t>Bank Description</t>
        </is>
      </c>
      <c r="C119" s="18" t="inlineStr">
        <is>
          <t>Amount</t>
        </is>
      </c>
      <c r="D119" s="18" t="inlineStr">
        <is>
          <t>Status</t>
        </is>
      </c>
      <c r="E119" s="18" t="inlineStr">
        <is>
          <t>Checked By</t>
        </is>
      </c>
    </row>
    <row r="120">
      <c r="A120" s="4" t="inlineStr">
        <is>
          <t>2026-07-22</t>
        </is>
      </c>
      <c r="B120" s="4" t="inlineStr">
        <is>
          <t>UPI/657086758161/SANDIP RAMDAS</t>
        </is>
      </c>
      <c r="C120" s="5" t="n">
        <v>2000</v>
      </c>
      <c r="D120" s="19" t="inlineStr">
        <is>
          <t>UNPAID</t>
        </is>
      </c>
      <c r="E120" s="4" t="inlineStr"/>
    </row>
    <row r="121">
      <c r="A121" s="4" t="inlineStr">
        <is>
          <t>2026-07-19</t>
        </is>
      </c>
      <c r="B121" s="4" t="inlineStr">
        <is>
          <t>UPI/656782925685/SANDIP RAMDAS</t>
        </is>
      </c>
      <c r="C121" s="5" t="n">
        <v>3000</v>
      </c>
      <c r="D121" s="19" t="inlineStr">
        <is>
          <t>UNPAID</t>
        </is>
      </c>
      <c r="E121" s="4" t="inlineStr"/>
    </row>
    <row r="122">
      <c r="A122" s="4" t="inlineStr">
        <is>
          <t>2026-07-13</t>
        </is>
      </c>
      <c r="B122" s="4" t="inlineStr">
        <is>
          <t>UPI/656007865439/SANDIP RAMDAS</t>
        </is>
      </c>
      <c r="C122" s="5" t="n">
        <v>2000</v>
      </c>
      <c r="D122" s="19" t="inlineStr">
        <is>
          <t>UNPAID</t>
        </is>
      </c>
      <c r="E122" s="4" t="inlineStr"/>
    </row>
    <row r="123">
      <c r="A123" s="4" t="inlineStr">
        <is>
          <t>2026-07-09</t>
        </is>
      </c>
      <c r="B123" s="4" t="inlineStr">
        <is>
          <t>UPI/655721015228/SANDIP RAMDAS</t>
        </is>
      </c>
      <c r="C123" s="5" t="n">
        <v>10000</v>
      </c>
      <c r="D123" s="19" t="inlineStr">
        <is>
          <t>UNPAID</t>
        </is>
      </c>
      <c r="E123" s="4" t="inlineStr"/>
    </row>
    <row r="124">
      <c r="A124" s="4" t="inlineStr">
        <is>
          <t>2026-07-03</t>
        </is>
      </c>
      <c r="B124" s="4" t="inlineStr">
        <is>
          <t>UPI/655031176106/SANDIP RAMDAS</t>
        </is>
      </c>
      <c r="C124" s="5" t="n">
        <v>10000</v>
      </c>
      <c r="D124" s="19" t="inlineStr">
        <is>
          <t>UNPAID</t>
        </is>
      </c>
      <c r="E124" s="4" t="inlineStr"/>
    </row>
    <row r="126">
      <c r="A126" s="14" t="inlineStr">
        <is>
          <t>VAISHALI DHAKATE SALARY  (3 txns)</t>
        </is>
      </c>
      <c r="B126" s="15" t="n"/>
      <c r="C126" s="15" t="n"/>
      <c r="D126" s="16" t="inlineStr">
        <is>
          <t>Accrued:</t>
        </is>
      </c>
      <c r="E126" s="17" t="n">
        <v>22348</v>
      </c>
    </row>
    <row r="127">
      <c r="A127" s="18" t="inlineStr">
        <is>
          <t>Date</t>
        </is>
      </c>
      <c r="B127" s="18" t="inlineStr">
        <is>
          <t>Bank Description</t>
        </is>
      </c>
      <c r="C127" s="18" t="inlineStr">
        <is>
          <t>Amount</t>
        </is>
      </c>
      <c r="D127" s="18" t="inlineStr">
        <is>
          <t>Status</t>
        </is>
      </c>
      <c r="E127" s="18" t="inlineStr">
        <is>
          <t>Checked By</t>
        </is>
      </c>
    </row>
    <row r="128">
      <c r="A128" s="4" t="inlineStr">
        <is>
          <t>2026-07-22</t>
        </is>
      </c>
      <c r="B128" s="4" t="inlineStr">
        <is>
          <t>UPI/656972217056/VAISHALI RAJESH DHAKATE</t>
        </is>
      </c>
      <c r="C128" s="5" t="n">
        <v>10000</v>
      </c>
      <c r="D128" s="19" t="inlineStr">
        <is>
          <t>UNPAID</t>
        </is>
      </c>
      <c r="E128" s="4" t="inlineStr"/>
    </row>
    <row r="129">
      <c r="A129" s="4" t="inlineStr">
        <is>
          <t>2026-07-18</t>
        </is>
      </c>
      <c r="B129" s="4" t="inlineStr">
        <is>
          <t>UPI/656593588020/VAISHALI RAJESH DHAKATE</t>
        </is>
      </c>
      <c r="C129" s="5" t="n">
        <v>4348</v>
      </c>
      <c r="D129" s="19" t="inlineStr">
        <is>
          <t>UNPAID</t>
        </is>
      </c>
      <c r="E129" s="4" t="inlineStr"/>
    </row>
    <row r="130">
      <c r="A130" s="4" t="inlineStr">
        <is>
          <t>2026-07-03</t>
        </is>
      </c>
      <c r="B130" s="4" t="inlineStr">
        <is>
          <t>UPI/655008282791/VAISHALI RAJESH DHAKATE</t>
        </is>
      </c>
      <c r="C130" s="5" t="n">
        <v>8000</v>
      </c>
      <c r="D130" s="19" t="inlineStr">
        <is>
          <t>UNPAID</t>
        </is>
      </c>
      <c r="E130" s="4" t="inlineStr"/>
    </row>
    <row r="132">
      <c r="A132" s="14" t="inlineStr">
        <is>
          <t>VRUSHALI PIMPALKAR SALARY  (2 txns)</t>
        </is>
      </c>
      <c r="B132" s="15" t="n"/>
      <c r="C132" s="15" t="n"/>
      <c r="D132" s="16" t="inlineStr">
        <is>
          <t>Accrued:</t>
        </is>
      </c>
      <c r="E132" s="17" t="n">
        <v>19000</v>
      </c>
    </row>
    <row r="133">
      <c r="A133" s="18" t="inlineStr">
        <is>
          <t>Date</t>
        </is>
      </c>
      <c r="B133" s="18" t="inlineStr">
        <is>
          <t>Bank Description</t>
        </is>
      </c>
      <c r="C133" s="18" t="inlineStr">
        <is>
          <t>Amount</t>
        </is>
      </c>
      <c r="D133" s="18" t="inlineStr">
        <is>
          <t>Status</t>
        </is>
      </c>
      <c r="E133" s="18" t="inlineStr">
        <is>
          <t>Checked By</t>
        </is>
      </c>
    </row>
    <row r="134">
      <c r="A134" s="4" t="inlineStr">
        <is>
          <t>2026-07-25</t>
        </is>
      </c>
      <c r="B134" s="4" t="inlineStr">
        <is>
          <t>UPI/620628076670/VRUSHALI MOHANDAS PIMPALKAR</t>
        </is>
      </c>
      <c r="C134" s="5" t="n">
        <v>14000</v>
      </c>
      <c r="D134" s="19" t="inlineStr">
        <is>
          <t>UNPAID</t>
        </is>
      </c>
      <c r="E134" s="4" t="inlineStr"/>
    </row>
    <row r="135">
      <c r="A135" s="4" t="inlineStr">
        <is>
          <t>2026-07-04</t>
        </is>
      </c>
      <c r="B135" s="4" t="inlineStr">
        <is>
          <t>UPI/655263722189/VRUSHALI MOHANDAS</t>
        </is>
      </c>
      <c r="C135" s="5" t="n">
        <v>5000</v>
      </c>
      <c r="D135" s="19" t="inlineStr">
        <is>
          <t>UNPAID</t>
        </is>
      </c>
      <c r="E135" s="4" t="inlineStr"/>
    </row>
    <row r="137">
      <c r="A137" s="14" t="inlineStr">
        <is>
          <t>CREDIT CARD  (3 txns)</t>
        </is>
      </c>
      <c r="B137" s="15" t="n"/>
      <c r="C137" s="15" t="n"/>
      <c r="D137" s="16" t="inlineStr">
        <is>
          <t>Accrued:</t>
        </is>
      </c>
      <c r="E137" s="17" t="n">
        <v>19000</v>
      </c>
    </row>
    <row r="138">
      <c r="A138" s="18" t="inlineStr">
        <is>
          <t>Date</t>
        </is>
      </c>
      <c r="B138" s="18" t="inlineStr">
        <is>
          <t>Bank Description</t>
        </is>
      </c>
      <c r="C138" s="18" t="inlineStr">
        <is>
          <t>Amount</t>
        </is>
      </c>
      <c r="D138" s="18" t="inlineStr">
        <is>
          <t>Status</t>
        </is>
      </c>
      <c r="E138" s="18" t="inlineStr">
        <is>
          <t>Checked By</t>
        </is>
      </c>
    </row>
    <row r="139">
      <c r="A139" s="4" t="inlineStr">
        <is>
          <t>2026-07-13</t>
        </is>
      </c>
      <c r="B139" s="4" t="inlineStr">
        <is>
          <t>UPI/619598633219/SBI Cards</t>
        </is>
      </c>
      <c r="C139" s="5" t="n">
        <v>4000</v>
      </c>
      <c r="D139" s="19" t="inlineStr">
        <is>
          <t>UNPAID</t>
        </is>
      </c>
      <c r="E139" s="4" t="inlineStr"/>
    </row>
    <row r="140">
      <c r="A140" s="4" t="inlineStr">
        <is>
          <t>2026-07-10</t>
        </is>
      </c>
      <c r="B140" s="4" t="inlineStr">
        <is>
          <t>UPI/655766605215/SBI Cards</t>
        </is>
      </c>
      <c r="C140" s="5" t="n">
        <v>10000</v>
      </c>
      <c r="D140" s="19" t="inlineStr">
        <is>
          <t>UNPAID</t>
        </is>
      </c>
      <c r="E140" s="4" t="inlineStr"/>
    </row>
    <row r="141">
      <c r="A141" s="4" t="inlineStr">
        <is>
          <t>2026-07-05</t>
        </is>
      </c>
      <c r="B141" s="4" t="inlineStr">
        <is>
          <t>UPI/618783614920/SBI Cards</t>
        </is>
      </c>
      <c r="C141" s="5" t="n">
        <v>5000</v>
      </c>
      <c r="D141" s="19" t="inlineStr">
        <is>
          <t>UNPAID</t>
        </is>
      </c>
      <c r="E141" s="4" t="inlineStr"/>
    </row>
    <row r="143">
      <c r="A143" s="14" t="inlineStr">
        <is>
          <t>NIKITA PAUL SALARY  (3 txns)</t>
        </is>
      </c>
      <c r="B143" s="15" t="n"/>
      <c r="C143" s="15" t="n"/>
      <c r="D143" s="16" t="inlineStr">
        <is>
          <t>Accrued:</t>
        </is>
      </c>
      <c r="E143" s="17" t="n">
        <v>18530</v>
      </c>
    </row>
    <row r="144">
      <c r="A144" s="18" t="inlineStr">
        <is>
          <t>Date</t>
        </is>
      </c>
      <c r="B144" s="18" t="inlineStr">
        <is>
          <t>Bank Description</t>
        </is>
      </c>
      <c r="C144" s="18" t="inlineStr">
        <is>
          <t>Amount</t>
        </is>
      </c>
      <c r="D144" s="18" t="inlineStr">
        <is>
          <t>Status</t>
        </is>
      </c>
      <c r="E144" s="18" t="inlineStr">
        <is>
          <t>Checked By</t>
        </is>
      </c>
    </row>
    <row r="145">
      <c r="A145" s="4" t="inlineStr">
        <is>
          <t>2026-07-17</t>
        </is>
      </c>
      <c r="B145" s="4" t="inlineStr">
        <is>
          <t>UPI/656418406073/NIKITA BASUDEV</t>
        </is>
      </c>
      <c r="C145" s="5" t="n">
        <v>11850</v>
      </c>
      <c r="D145" s="19" t="inlineStr">
        <is>
          <t>UNPAID</t>
        </is>
      </c>
      <c r="E145" s="4" t="inlineStr"/>
    </row>
    <row r="146">
      <c r="A146" s="4" t="inlineStr">
        <is>
          <t>2026-07-15</t>
        </is>
      </c>
      <c r="B146" s="4" t="inlineStr">
        <is>
          <t>UPI/656221355260/NIKITA BASUDEV</t>
        </is>
      </c>
      <c r="C146" s="5" t="n">
        <v>2000</v>
      </c>
      <c r="D146" s="19" t="inlineStr">
        <is>
          <t>UNPAID</t>
        </is>
      </c>
      <c r="E146" s="4" t="inlineStr"/>
    </row>
    <row r="147">
      <c r="A147" s="4" t="inlineStr">
        <is>
          <t>2026-07-02</t>
        </is>
      </c>
      <c r="B147" s="4" t="inlineStr">
        <is>
          <t>UPI/654987002839/NIKITA BASUDEV</t>
        </is>
      </c>
      <c r="C147" s="5" t="n">
        <v>4680</v>
      </c>
      <c r="D147" s="19" t="inlineStr">
        <is>
          <t>UNPAID</t>
        </is>
      </c>
      <c r="E147" s="4" t="inlineStr"/>
    </row>
    <row r="149">
      <c r="A149" s="14" t="inlineStr">
        <is>
          <t>PRAJAKTA DALAL SALARY  (1 txn)</t>
        </is>
      </c>
      <c r="B149" s="15" t="n"/>
      <c r="C149" s="15" t="n"/>
      <c r="D149" s="16" t="inlineStr">
        <is>
          <t>Accrued:</t>
        </is>
      </c>
      <c r="E149" s="17" t="n">
        <v>18082</v>
      </c>
    </row>
    <row r="150">
      <c r="A150" s="18" t="inlineStr">
        <is>
          <t>Date</t>
        </is>
      </c>
      <c r="B150" s="18" t="inlineStr">
        <is>
          <t>Bank Description</t>
        </is>
      </c>
      <c r="C150" s="18" t="inlineStr">
        <is>
          <t>Amount</t>
        </is>
      </c>
      <c r="D150" s="18" t="inlineStr">
        <is>
          <t>Status</t>
        </is>
      </c>
      <c r="E150" s="18" t="inlineStr">
        <is>
          <t>Checked By</t>
        </is>
      </c>
    </row>
    <row r="151">
      <c r="A151" s="4" t="inlineStr">
        <is>
          <t>2026-07-10</t>
        </is>
      </c>
      <c r="B151" s="4" t="inlineStr">
        <is>
          <t>UPI/619207401513/Mrs PRAJAKTA</t>
        </is>
      </c>
      <c r="C151" s="5" t="n">
        <v>18082</v>
      </c>
      <c r="D151" s="19" t="inlineStr">
        <is>
          <t>UNPAID</t>
        </is>
      </c>
      <c r="E151" s="4" t="inlineStr"/>
    </row>
    <row r="153">
      <c r="A153" s="14" t="inlineStr">
        <is>
          <t>DIVYA THERE SALARY  (3 txns)</t>
        </is>
      </c>
      <c r="B153" s="15" t="n"/>
      <c r="C153" s="15" t="n"/>
      <c r="D153" s="16" t="inlineStr">
        <is>
          <t>Accrued:</t>
        </is>
      </c>
      <c r="E153" s="17" t="n">
        <v>13417</v>
      </c>
    </row>
    <row r="154">
      <c r="A154" s="18" t="inlineStr">
        <is>
          <t>Date</t>
        </is>
      </c>
      <c r="B154" s="18" t="inlineStr">
        <is>
          <t>Bank Description</t>
        </is>
      </c>
      <c r="C154" s="18" t="inlineStr">
        <is>
          <t>Amount</t>
        </is>
      </c>
      <c r="D154" s="18" t="inlineStr">
        <is>
          <t>Status</t>
        </is>
      </c>
      <c r="E154" s="18" t="inlineStr">
        <is>
          <t>Checked By</t>
        </is>
      </c>
    </row>
    <row r="155">
      <c r="A155" s="4" t="inlineStr">
        <is>
          <t>2026-07-25</t>
        </is>
      </c>
      <c r="B155" s="4" t="inlineStr">
        <is>
          <t>UPI/620687881131/DIVYA RAMESH THERE</t>
        </is>
      </c>
      <c r="C155" s="5" t="n">
        <v>4000</v>
      </c>
      <c r="D155" s="19" t="inlineStr">
        <is>
          <t>UNPAID</t>
        </is>
      </c>
      <c r="E155" s="4" t="inlineStr"/>
    </row>
    <row r="156">
      <c r="A156" s="4" t="inlineStr">
        <is>
          <t>2026-07-22</t>
        </is>
      </c>
      <c r="B156" s="4" t="inlineStr">
        <is>
          <t>UPI/620307186832/DIVYA RAMESH THERE</t>
        </is>
      </c>
      <c r="C156" s="5" t="n">
        <v>3917</v>
      </c>
      <c r="D156" s="19" t="inlineStr">
        <is>
          <t>UNPAID</t>
        </is>
      </c>
      <c r="E156" s="4" t="inlineStr">
        <is>
          <t>PRAJAKTA</t>
        </is>
      </c>
    </row>
    <row r="157">
      <c r="A157" s="4" t="inlineStr">
        <is>
          <t>2026-07-02</t>
        </is>
      </c>
      <c r="B157" s="4" t="inlineStr">
        <is>
          <t>UPI/654994706382/DIVYA RAMESH THERE</t>
        </is>
      </c>
      <c r="C157" s="5" t="n">
        <v>5500</v>
      </c>
      <c r="D157" s="19" t="inlineStr">
        <is>
          <t>UNPAID</t>
        </is>
      </c>
      <c r="E157" s="4" t="inlineStr"/>
    </row>
    <row r="159">
      <c r="A159" s="14" t="inlineStr">
        <is>
          <t>OFFICE RENT  (3 txns)</t>
        </is>
      </c>
      <c r="B159" s="15" t="n"/>
      <c r="C159" s="15" t="n"/>
      <c r="D159" s="16" t="inlineStr">
        <is>
          <t>Accrued:</t>
        </is>
      </c>
      <c r="E159" s="17" t="n">
        <v>10800</v>
      </c>
    </row>
    <row r="160">
      <c r="A160" s="18" t="inlineStr">
        <is>
          <t>Date</t>
        </is>
      </c>
      <c r="B160" s="18" t="inlineStr">
        <is>
          <t>Bank Description</t>
        </is>
      </c>
      <c r="C160" s="18" t="inlineStr">
        <is>
          <t>Amount</t>
        </is>
      </c>
      <c r="D160" s="18" t="inlineStr">
        <is>
          <t>Status</t>
        </is>
      </c>
      <c r="E160" s="18" t="inlineStr">
        <is>
          <t>Checked By</t>
        </is>
      </c>
    </row>
    <row r="161">
      <c r="A161" s="4" t="inlineStr">
        <is>
          <t>2026-07-15</t>
        </is>
      </c>
      <c r="B161" s="4" t="inlineStr">
        <is>
          <t>UPI/656264459850/MANJUSHA AJIT</t>
        </is>
      </c>
      <c r="C161" s="5" t="n">
        <v>800</v>
      </c>
      <c r="D161" s="19" t="inlineStr">
        <is>
          <t>UNPAID</t>
        </is>
      </c>
      <c r="E161" s="4" t="inlineStr"/>
    </row>
    <row r="162">
      <c r="A162" s="4" t="inlineStr">
        <is>
          <t>2026-07-15</t>
        </is>
      </c>
      <c r="B162" s="4" t="inlineStr">
        <is>
          <t>UPI/656253953073/MANJUSHA AJIT</t>
        </is>
      </c>
      <c r="C162" s="5" t="n">
        <v>5000</v>
      </c>
      <c r="D162" s="19" t="inlineStr">
        <is>
          <t>UNPAID</t>
        </is>
      </c>
      <c r="E162" s="4" t="inlineStr"/>
    </row>
    <row r="163">
      <c r="A163" s="4" t="inlineStr">
        <is>
          <t>2026-07-15</t>
        </is>
      </c>
      <c r="B163" s="4" t="inlineStr">
        <is>
          <t>UPI/656215242329/MANJUSHA AJIT</t>
        </is>
      </c>
      <c r="C163" s="5" t="n">
        <v>5000</v>
      </c>
      <c r="D163" s="19" t="inlineStr">
        <is>
          <t>UNPAID</t>
        </is>
      </c>
      <c r="E163" s="4" t="inlineStr"/>
    </row>
    <row r="165">
      <c r="A165" s="14" t="inlineStr">
        <is>
          <t>RAJ COMPUTER  (5 txns)</t>
        </is>
      </c>
      <c r="B165" s="15" t="n"/>
      <c r="C165" s="15" t="n"/>
      <c r="D165" s="16" t="inlineStr">
        <is>
          <t>Accrued:</t>
        </is>
      </c>
      <c r="E165" s="17" t="n">
        <v>10350</v>
      </c>
    </row>
    <row r="166">
      <c r="A166" s="18" t="inlineStr">
        <is>
          <t>Date</t>
        </is>
      </c>
      <c r="B166" s="18" t="inlineStr">
        <is>
          <t>Bank Description</t>
        </is>
      </c>
      <c r="C166" s="18" t="inlineStr">
        <is>
          <t>Amount</t>
        </is>
      </c>
      <c r="D166" s="18" t="inlineStr">
        <is>
          <t>Status</t>
        </is>
      </c>
      <c r="E166" s="18" t="inlineStr">
        <is>
          <t>Checked By</t>
        </is>
      </c>
    </row>
    <row r="167">
      <c r="A167" s="4" t="inlineStr">
        <is>
          <t>2026-07-23</t>
        </is>
      </c>
      <c r="B167" s="4" t="inlineStr">
        <is>
          <t>UPI/620520623358/RAJ COMPUTERS AND</t>
        </is>
      </c>
      <c r="C167" s="5" t="n">
        <v>8000</v>
      </c>
      <c r="D167" s="19" t="inlineStr">
        <is>
          <t>UNPAID</t>
        </is>
      </c>
      <c r="E167" s="4" t="inlineStr">
        <is>
          <t>PRAJAKTA</t>
        </is>
      </c>
    </row>
    <row r="168">
      <c r="A168" s="4" t="inlineStr">
        <is>
          <t>2026-07-18</t>
        </is>
      </c>
      <c r="B168" s="4" t="inlineStr">
        <is>
          <t>UPI/656550178000/RAJ COMPUTERS</t>
        </is>
      </c>
      <c r="C168" s="5" t="n">
        <v>750</v>
      </c>
      <c r="D168" s="19" t="inlineStr">
        <is>
          <t>UNPAID</t>
        </is>
      </c>
      <c r="E168" s="4" t="inlineStr"/>
    </row>
    <row r="169">
      <c r="A169" s="4" t="inlineStr">
        <is>
          <t>2026-07-12</t>
        </is>
      </c>
      <c r="B169" s="4" t="inlineStr">
        <is>
          <t>UPI/656076080844/RAJ COMPUTERS</t>
        </is>
      </c>
      <c r="C169" s="5" t="n">
        <v>850</v>
      </c>
      <c r="D169" s="19" t="inlineStr">
        <is>
          <t>UNPAID</t>
        </is>
      </c>
      <c r="E169" s="4" t="inlineStr"/>
    </row>
    <row r="170">
      <c r="A170" s="4" t="inlineStr">
        <is>
          <t>2026-07-12</t>
        </is>
      </c>
      <c r="B170" s="4" t="inlineStr">
        <is>
          <t>UPI/656027866190/RAJ COMPUTERS</t>
        </is>
      </c>
      <c r="C170" s="5" t="n">
        <v>150</v>
      </c>
      <c r="D170" s="19" t="inlineStr">
        <is>
          <t>UNPAID</t>
        </is>
      </c>
      <c r="E170" s="4" t="inlineStr"/>
    </row>
    <row r="171">
      <c r="A171" s="4" t="inlineStr">
        <is>
          <t>2026-07-12</t>
        </is>
      </c>
      <c r="B171" s="4" t="inlineStr">
        <is>
          <t>UPI/656065478324/RAJ COMPUTERS</t>
        </is>
      </c>
      <c r="C171" s="5" t="n">
        <v>600</v>
      </c>
      <c r="D171" s="19" t="inlineStr">
        <is>
          <t>UNPAID</t>
        </is>
      </c>
      <c r="E171" s="4" t="inlineStr"/>
    </row>
    <row r="173">
      <c r="A173" s="14" t="inlineStr">
        <is>
          <t>3 ACE INFOTECH DEGITAL MARKETING  (1 txn)</t>
        </is>
      </c>
      <c r="B173" s="15" t="n"/>
      <c r="C173" s="15" t="n"/>
      <c r="D173" s="16" t="inlineStr">
        <is>
          <t>Accrued:</t>
        </is>
      </c>
      <c r="E173" s="17" t="n">
        <v>10000</v>
      </c>
    </row>
    <row r="174">
      <c r="A174" s="18" t="inlineStr">
        <is>
          <t>Date</t>
        </is>
      </c>
      <c r="B174" s="18" t="inlineStr">
        <is>
          <t>Bank Description</t>
        </is>
      </c>
      <c r="C174" s="18" t="inlineStr">
        <is>
          <t>Amount</t>
        </is>
      </c>
      <c r="D174" s="18" t="inlineStr">
        <is>
          <t>Status</t>
        </is>
      </c>
      <c r="E174" s="18" t="inlineStr">
        <is>
          <t>Checked By</t>
        </is>
      </c>
    </row>
    <row r="175">
      <c r="A175" s="4" t="inlineStr">
        <is>
          <t>2026-07-23</t>
        </is>
      </c>
      <c r="B175" s="4" t="inlineStr">
        <is>
          <t>UPI/657016854237/GAURAV SUNIL</t>
        </is>
      </c>
      <c r="C175" s="5" t="n">
        <v>10000</v>
      </c>
      <c r="D175" s="20" t="inlineStr">
        <is>
          <t>PAID</t>
        </is>
      </c>
      <c r="E175" s="4" t="inlineStr">
        <is>
          <t>Sanket</t>
        </is>
      </c>
    </row>
    <row r="177">
      <c r="A177" s="14" t="inlineStr">
        <is>
          <t>SAMITA NAGVANSHI SALARY  (2 txns)</t>
        </is>
      </c>
      <c r="B177" s="15" t="n"/>
      <c r="C177" s="15" t="n"/>
      <c r="D177" s="16" t="inlineStr">
        <is>
          <t>Accrued:</t>
        </is>
      </c>
      <c r="E177" s="17" t="n">
        <v>9140</v>
      </c>
    </row>
    <row r="178">
      <c r="A178" s="18" t="inlineStr">
        <is>
          <t>Date</t>
        </is>
      </c>
      <c r="B178" s="18" t="inlineStr">
        <is>
          <t>Bank Description</t>
        </is>
      </c>
      <c r="C178" s="18" t="inlineStr">
        <is>
          <t>Amount</t>
        </is>
      </c>
      <c r="D178" s="18" t="inlineStr">
        <is>
          <t>Status</t>
        </is>
      </c>
      <c r="E178" s="18" t="inlineStr">
        <is>
          <t>Checked By</t>
        </is>
      </c>
    </row>
    <row r="179">
      <c r="A179" s="4" t="inlineStr">
        <is>
          <t>2026-07-15</t>
        </is>
      </c>
      <c r="B179" s="4" t="inlineStr">
        <is>
          <t>UPI/619769942660/SAMITA SUNIL</t>
        </is>
      </c>
      <c r="C179" s="5" t="n">
        <v>2140</v>
      </c>
      <c r="D179" s="19" t="inlineStr">
        <is>
          <t>UNPAID</t>
        </is>
      </c>
      <c r="E179" s="4" t="inlineStr"/>
    </row>
    <row r="180">
      <c r="A180" s="4" t="inlineStr">
        <is>
          <t>2026-07-02</t>
        </is>
      </c>
      <c r="B180" s="4" t="inlineStr">
        <is>
          <t>UPI/654991611351/SAMITA SUNIL</t>
        </is>
      </c>
      <c r="C180" s="5" t="n">
        <v>7000</v>
      </c>
      <c r="D180" s="19" t="inlineStr">
        <is>
          <t>UNPAID</t>
        </is>
      </c>
      <c r="E180" s="4" t="inlineStr"/>
    </row>
    <row r="182">
      <c r="A182" s="14" t="inlineStr">
        <is>
          <t>PRIYA KOMMU SALARY  (2 txns)</t>
        </is>
      </c>
      <c r="B182" s="15" t="n"/>
      <c r="C182" s="15" t="n"/>
      <c r="D182" s="16" t="inlineStr">
        <is>
          <t>Accrued:</t>
        </is>
      </c>
      <c r="E182" s="17" t="n">
        <v>8531</v>
      </c>
    </row>
    <row r="183">
      <c r="A183" s="18" t="inlineStr">
        <is>
          <t>Date</t>
        </is>
      </c>
      <c r="B183" s="18" t="inlineStr">
        <is>
          <t>Bank Description</t>
        </is>
      </c>
      <c r="C183" s="18" t="inlineStr">
        <is>
          <t>Amount</t>
        </is>
      </c>
      <c r="D183" s="18" t="inlineStr">
        <is>
          <t>Status</t>
        </is>
      </c>
      <c r="E183" s="18" t="inlineStr">
        <is>
          <t>Checked By</t>
        </is>
      </c>
    </row>
    <row r="184">
      <c r="A184" s="4" t="inlineStr">
        <is>
          <t>2026-07-18</t>
        </is>
      </c>
      <c r="B184" s="4" t="inlineStr">
        <is>
          <t>UPI/656507285705/VAMSHI SHYAM</t>
        </is>
      </c>
      <c r="C184" s="5" t="n">
        <v>3031</v>
      </c>
      <c r="D184" s="19" t="inlineStr">
        <is>
          <t>UNPAID</t>
        </is>
      </c>
      <c r="E184" s="4" t="inlineStr"/>
    </row>
    <row r="185">
      <c r="A185" s="4" t="inlineStr">
        <is>
          <t>2026-07-02</t>
        </is>
      </c>
      <c r="B185" s="4" t="inlineStr">
        <is>
          <t>UPI/654925207054/VAMSHI SHYAM</t>
        </is>
      </c>
      <c r="C185" s="5" t="n">
        <v>5500</v>
      </c>
      <c r="D185" s="19" t="inlineStr">
        <is>
          <t>UNPAID</t>
        </is>
      </c>
      <c r="E185" s="4" t="inlineStr"/>
    </row>
    <row r="187">
      <c r="A187" s="14" t="inlineStr">
        <is>
          <t>FIZA SHEIKH SALARY  (2 txns)</t>
        </is>
      </c>
      <c r="B187" s="15" t="n"/>
      <c r="C187" s="15" t="n"/>
      <c r="D187" s="16" t="inlineStr">
        <is>
          <t>Accrued:</t>
        </is>
      </c>
      <c r="E187" s="17" t="n">
        <v>8500</v>
      </c>
    </row>
    <row r="188">
      <c r="A188" s="18" t="inlineStr">
        <is>
          <t>Date</t>
        </is>
      </c>
      <c r="B188" s="18" t="inlineStr">
        <is>
          <t>Bank Description</t>
        </is>
      </c>
      <c r="C188" s="18" t="inlineStr">
        <is>
          <t>Amount</t>
        </is>
      </c>
      <c r="D188" s="18" t="inlineStr">
        <is>
          <t>Status</t>
        </is>
      </c>
      <c r="E188" s="18" t="inlineStr">
        <is>
          <t>Checked By</t>
        </is>
      </c>
    </row>
    <row r="189">
      <c r="A189" s="4" t="inlineStr">
        <is>
          <t>2026-07-14</t>
        </is>
      </c>
      <c r="B189" s="4" t="inlineStr">
        <is>
          <t>UPI/619599070801/FIRDOS ANJUM</t>
        </is>
      </c>
      <c r="C189" s="5" t="n">
        <v>3000</v>
      </c>
      <c r="D189" s="19" t="inlineStr">
        <is>
          <t>UNPAID</t>
        </is>
      </c>
      <c r="E189" s="4" t="inlineStr"/>
    </row>
    <row r="190">
      <c r="A190" s="4" t="inlineStr">
        <is>
          <t>2026-07-02</t>
        </is>
      </c>
      <c r="B190" s="4" t="inlineStr">
        <is>
          <t>UPI/654981305609/FIRDOS ANJUM</t>
        </is>
      </c>
      <c r="C190" s="5" t="n">
        <v>5500</v>
      </c>
      <c r="D190" s="19" t="inlineStr">
        <is>
          <t>UNPAID</t>
        </is>
      </c>
      <c r="E190" s="4" t="inlineStr"/>
    </row>
    <row r="192">
      <c r="A192" s="14" t="inlineStr">
        <is>
          <t>CAPITAL EXPENDITURE  (7 txns)</t>
        </is>
      </c>
      <c r="B192" s="15" t="n"/>
      <c r="C192" s="15" t="n"/>
      <c r="D192" s="16" t="inlineStr">
        <is>
          <t>Accrued:</t>
        </is>
      </c>
      <c r="E192" s="17" t="n">
        <v>8338.98</v>
      </c>
    </row>
    <row r="193">
      <c r="A193" s="18" t="inlineStr">
        <is>
          <t>Date</t>
        </is>
      </c>
      <c r="B193" s="18" t="inlineStr">
        <is>
          <t>Bank Description</t>
        </is>
      </c>
      <c r="C193" s="18" t="inlineStr">
        <is>
          <t>Amount</t>
        </is>
      </c>
      <c r="D193" s="18" t="inlineStr">
        <is>
          <t>Status</t>
        </is>
      </c>
      <c r="E193" s="18" t="inlineStr">
        <is>
          <t>Checked By</t>
        </is>
      </c>
    </row>
    <row r="194">
      <c r="A194" s="4" t="inlineStr">
        <is>
          <t>2026-07-19</t>
        </is>
      </c>
      <c r="B194" s="4" t="inlineStr">
        <is>
          <t>UPI/656704529377/LAXMI COMPUTERS</t>
        </is>
      </c>
      <c r="C194" s="5" t="n">
        <v>3122</v>
      </c>
      <c r="D194" s="19" t="inlineStr">
        <is>
          <t>UNPAID</t>
        </is>
      </c>
      <c r="E194" s="4" t="inlineStr"/>
    </row>
    <row r="195">
      <c r="A195" s="4" t="inlineStr">
        <is>
          <t>2026-07-18</t>
        </is>
      </c>
      <c r="B195" s="4" t="inlineStr">
        <is>
          <t>UPI/656538173711/LAXMI COMPUTERS</t>
        </is>
      </c>
      <c r="C195" s="5" t="n">
        <v>300</v>
      </c>
      <c r="D195" s="19" t="inlineStr">
        <is>
          <t>UNPAID</t>
        </is>
      </c>
      <c r="E195" s="4" t="inlineStr"/>
    </row>
    <row r="196">
      <c r="A196" s="4" t="inlineStr">
        <is>
          <t>2026-07-05</t>
        </is>
      </c>
      <c r="B196" s="4" t="inlineStr">
        <is>
          <t>UPI/655303095941/Amazon Pay</t>
        </is>
      </c>
      <c r="C196" s="5" t="n">
        <v>2506.99</v>
      </c>
      <c r="D196" s="19" t="inlineStr">
        <is>
          <t>UNPAID</t>
        </is>
      </c>
      <c r="E196" s="4" t="inlineStr"/>
    </row>
    <row r="197">
      <c r="A197" s="4" t="inlineStr">
        <is>
          <t>2026-07-05</t>
        </is>
      </c>
      <c r="B197" s="4" t="inlineStr">
        <is>
          <t>UPI/618789803609/Amazon Pay</t>
        </is>
      </c>
      <c r="C197" s="5" t="n">
        <v>300.02</v>
      </c>
      <c r="D197" s="19" t="inlineStr">
        <is>
          <t>UNPAID</t>
        </is>
      </c>
      <c r="E197" s="4" t="inlineStr"/>
    </row>
    <row r="198">
      <c r="A198" s="4" t="inlineStr">
        <is>
          <t>2026-07-03</t>
        </is>
      </c>
      <c r="B198" s="4" t="inlineStr">
        <is>
          <t>UPI/618522023230/Amazon Pay</t>
        </is>
      </c>
      <c r="C198" s="5" t="n">
        <v>1201.91</v>
      </c>
      <c r="D198" s="19" t="inlineStr">
        <is>
          <t>UNPAID</t>
        </is>
      </c>
      <c r="E198" s="4" t="inlineStr"/>
    </row>
    <row r="199">
      <c r="A199" s="4" t="inlineStr">
        <is>
          <t>2026-07-02</t>
        </is>
      </c>
      <c r="B199" s="4" t="inlineStr">
        <is>
          <t>UPI/655037573572/Amazon Pay</t>
        </is>
      </c>
      <c r="C199" s="5" t="n">
        <v>295.02</v>
      </c>
      <c r="D199" s="19" t="inlineStr">
        <is>
          <t>UNPAID</t>
        </is>
      </c>
      <c r="E199" s="4" t="inlineStr"/>
    </row>
    <row r="200">
      <c r="A200" s="4" t="inlineStr">
        <is>
          <t>2026-07-01</t>
        </is>
      </c>
      <c r="B200" s="4" t="inlineStr">
        <is>
          <t>UPI/618300186288/Amazon Pay</t>
        </is>
      </c>
      <c r="C200" s="5" t="n">
        <v>613.04</v>
      </c>
      <c r="D200" s="19" t="inlineStr">
        <is>
          <t>UNPAID</t>
        </is>
      </c>
      <c r="E200" s="4" t="inlineStr"/>
    </row>
    <row r="202">
      <c r="A202" s="14" t="inlineStr">
        <is>
          <t>PETROL  (10 txns)</t>
        </is>
      </c>
      <c r="B202" s="15" t="n"/>
      <c r="C202" s="15" t="n"/>
      <c r="D202" s="16" t="inlineStr">
        <is>
          <t>Accrued:</t>
        </is>
      </c>
      <c r="E202" s="17" t="n">
        <v>7199</v>
      </c>
    </row>
    <row r="203">
      <c r="A203" s="18" t="inlineStr">
        <is>
          <t>Date</t>
        </is>
      </c>
      <c r="B203" s="18" t="inlineStr">
        <is>
          <t>Bank Description</t>
        </is>
      </c>
      <c r="C203" s="18" t="inlineStr">
        <is>
          <t>Amount</t>
        </is>
      </c>
      <c r="D203" s="18" t="inlineStr">
        <is>
          <t>Status</t>
        </is>
      </c>
      <c r="E203" s="18" t="inlineStr">
        <is>
          <t>Checked By</t>
        </is>
      </c>
    </row>
    <row r="204">
      <c r="A204" s="4" t="inlineStr">
        <is>
          <t>2026-07-21</t>
        </is>
      </c>
      <c r="B204" s="4" t="inlineStr">
        <is>
          <t>RPAY-POS/MANAS AGRO INDUSTRIES</t>
        </is>
      </c>
      <c r="C204" s="5" t="n">
        <v>1000</v>
      </c>
      <c r="D204" s="19" t="inlineStr">
        <is>
          <t>UNPAID</t>
        </is>
      </c>
      <c r="E204" s="4" t="inlineStr"/>
    </row>
    <row r="205">
      <c r="A205" s="4" t="inlineStr">
        <is>
          <t>2026-07-20</t>
        </is>
      </c>
      <c r="B205" s="4" t="inlineStr">
        <is>
          <t>UPI/620204506482/MS GURUKRUPA</t>
        </is>
      </c>
      <c r="C205" s="5" t="n">
        <v>500</v>
      </c>
      <c r="D205" s="19" t="inlineStr">
        <is>
          <t>UNPAID</t>
        </is>
      </c>
      <c r="E205" s="4" t="inlineStr"/>
    </row>
    <row r="206">
      <c r="A206" s="4" t="inlineStr">
        <is>
          <t>2026-07-16</t>
        </is>
      </c>
      <c r="B206" s="4" t="inlineStr">
        <is>
          <t>RPAY-POS/V M KOTPALLIWAR</t>
        </is>
      </c>
      <c r="C206" s="5" t="n">
        <v>885</v>
      </c>
      <c r="D206" s="19" t="inlineStr">
        <is>
          <t>UNPAID</t>
        </is>
      </c>
      <c r="E206" s="4" t="inlineStr"/>
    </row>
    <row r="207">
      <c r="A207" s="4" t="inlineStr">
        <is>
          <t>2026-07-15</t>
        </is>
      </c>
      <c r="B207" s="4" t="inlineStr">
        <is>
          <t>RPAY-POS/V M KOTPALLIWAR</t>
        </is>
      </c>
      <c r="C207" s="5" t="n">
        <v>469</v>
      </c>
      <c r="D207" s="19" t="inlineStr">
        <is>
          <t>UNPAID</t>
        </is>
      </c>
      <c r="E207" s="4" t="inlineStr"/>
    </row>
    <row r="208">
      <c r="A208" s="4" t="inlineStr">
        <is>
          <t>2026-07-14</t>
        </is>
      </c>
      <c r="B208" s="4" t="inlineStr">
        <is>
          <t>UPI/619539032603/MS GURUKRUPA</t>
        </is>
      </c>
      <c r="C208" s="5" t="n">
        <v>500</v>
      </c>
      <c r="D208" s="19" t="inlineStr">
        <is>
          <t>UNPAID</t>
        </is>
      </c>
      <c r="E208" s="4" t="inlineStr"/>
    </row>
    <row r="209">
      <c r="A209" s="4" t="inlineStr">
        <is>
          <t>2026-07-10</t>
        </is>
      </c>
      <c r="B209" s="4" t="inlineStr">
        <is>
          <t>RPAY-POS/V M KOTPALLIWAR</t>
        </is>
      </c>
      <c r="C209" s="5" t="n">
        <v>436</v>
      </c>
      <c r="D209" s="19" t="inlineStr">
        <is>
          <t>UNPAID</t>
        </is>
      </c>
      <c r="E209" s="4" t="inlineStr"/>
    </row>
    <row r="210">
      <c r="A210" s="4" t="inlineStr">
        <is>
          <t>2026-07-08</t>
        </is>
      </c>
      <c r="B210" s="4" t="inlineStr">
        <is>
          <t>RPAY-POS/V M KOTPALLIWAR</t>
        </is>
      </c>
      <c r="C210" s="5" t="n">
        <v>1000</v>
      </c>
      <c r="D210" s="19" t="inlineStr">
        <is>
          <t>UNPAID</t>
        </is>
      </c>
      <c r="E210" s="4" t="inlineStr"/>
    </row>
    <row r="211">
      <c r="A211" s="4" t="inlineStr">
        <is>
          <t>2026-07-06</t>
        </is>
      </c>
      <c r="B211" s="4" t="inlineStr">
        <is>
          <t>RPAY-POS/V M KOTPALLIWAR</t>
        </is>
      </c>
      <c r="C211" s="5" t="n">
        <v>1000</v>
      </c>
      <c r="D211" s="19" t="inlineStr">
        <is>
          <t>UNPAID</t>
        </is>
      </c>
      <c r="E211" s="4" t="inlineStr"/>
    </row>
    <row r="212">
      <c r="A212" s="4" t="inlineStr">
        <is>
          <t>2026-07-05</t>
        </is>
      </c>
      <c r="B212" s="4" t="inlineStr">
        <is>
          <t>RPAY-POS/MANAKCHAND JETHAMAL</t>
        </is>
      </c>
      <c r="C212" s="5" t="n">
        <v>909</v>
      </c>
      <c r="D212" s="19" t="inlineStr">
        <is>
          <t>UNPAID</t>
        </is>
      </c>
      <c r="E212" s="4" t="inlineStr"/>
    </row>
    <row r="213">
      <c r="A213" s="4" t="inlineStr">
        <is>
          <t>2026-07-03</t>
        </is>
      </c>
      <c r="B213" s="4" t="inlineStr">
        <is>
          <t>UPI/618505948350/MS GURUKRUPA</t>
        </is>
      </c>
      <c r="C213" s="5" t="n">
        <v>500</v>
      </c>
      <c r="D213" s="19" t="inlineStr">
        <is>
          <t>UNPAID</t>
        </is>
      </c>
      <c r="E213" s="4" t="inlineStr"/>
    </row>
    <row r="215">
      <c r="A215" s="14" t="inlineStr">
        <is>
          <t>AISENSY MARKETING  (4 txns)</t>
        </is>
      </c>
      <c r="B215" s="15" t="n"/>
      <c r="C215" s="15" t="n"/>
      <c r="D215" s="16" t="inlineStr">
        <is>
          <t>Accrued:</t>
        </is>
      </c>
      <c r="E215" s="17" t="n">
        <v>7080</v>
      </c>
    </row>
    <row r="216">
      <c r="A216" s="18" t="inlineStr">
        <is>
          <t>Date</t>
        </is>
      </c>
      <c r="B216" s="18" t="inlineStr">
        <is>
          <t>Bank Description</t>
        </is>
      </c>
      <c r="C216" s="18" t="inlineStr">
        <is>
          <t>Amount</t>
        </is>
      </c>
      <c r="D216" s="18" t="inlineStr">
        <is>
          <t>Status</t>
        </is>
      </c>
      <c r="E216" s="18" t="inlineStr">
        <is>
          <t>Checked By</t>
        </is>
      </c>
    </row>
    <row r="217">
      <c r="A217" s="4" t="inlineStr">
        <is>
          <t>2026-07-22</t>
        </is>
      </c>
      <c r="B217" s="4" t="inlineStr">
        <is>
          <t>UPI/657089344057/AiSensy Communication</t>
        </is>
      </c>
      <c r="C217" s="5" t="n">
        <v>1770</v>
      </c>
      <c r="D217" s="20" t="inlineStr">
        <is>
          <t>PAID</t>
        </is>
      </c>
      <c r="E217" s="4" t="inlineStr">
        <is>
          <t>Sanket</t>
        </is>
      </c>
    </row>
    <row r="218">
      <c r="A218" s="4" t="inlineStr">
        <is>
          <t>2026-07-20</t>
        </is>
      </c>
      <c r="B218" s="4" t="inlineStr">
        <is>
          <t>UPI/620297608187/AiSensy Communication</t>
        </is>
      </c>
      <c r="C218" s="5" t="n">
        <v>1770</v>
      </c>
      <c r="D218" s="19" t="inlineStr">
        <is>
          <t>UNPAID</t>
        </is>
      </c>
      <c r="E218" s="4" t="inlineStr"/>
    </row>
    <row r="219">
      <c r="A219" s="4" t="inlineStr">
        <is>
          <t>2026-07-15</t>
        </is>
      </c>
      <c r="B219" s="4" t="inlineStr">
        <is>
          <t>UPI/619794342829/AiSensy Communication</t>
        </is>
      </c>
      <c r="C219" s="5" t="n">
        <v>1770</v>
      </c>
      <c r="D219" s="19" t="inlineStr">
        <is>
          <t>UNPAID</t>
        </is>
      </c>
      <c r="E219" s="4" t="inlineStr"/>
    </row>
    <row r="220">
      <c r="A220" s="4" t="inlineStr">
        <is>
          <t>2026-07-10</t>
        </is>
      </c>
      <c r="B220" s="4" t="inlineStr">
        <is>
          <t>UPI/655751316275/AiSensy Communication</t>
        </is>
      </c>
      <c r="C220" s="5" t="n">
        <v>1770</v>
      </c>
      <c r="D220" s="19" t="inlineStr">
        <is>
          <t>UNPAID</t>
        </is>
      </c>
      <c r="E220" s="4" t="inlineStr"/>
    </row>
    <row r="222">
      <c r="A222" s="14" t="inlineStr">
        <is>
          <t>AKANSHA TOTAWAR SALARY  (1 txn)</t>
        </is>
      </c>
      <c r="B222" s="15" t="n"/>
      <c r="C222" s="15" t="n"/>
      <c r="D222" s="16" t="inlineStr">
        <is>
          <t>Accrued:</t>
        </is>
      </c>
      <c r="E222" s="17" t="n">
        <v>7000</v>
      </c>
    </row>
    <row r="223">
      <c r="A223" s="18" t="inlineStr">
        <is>
          <t>Date</t>
        </is>
      </c>
      <c r="B223" s="18" t="inlineStr">
        <is>
          <t>Bank Description</t>
        </is>
      </c>
      <c r="C223" s="18" t="inlineStr">
        <is>
          <t>Amount</t>
        </is>
      </c>
      <c r="D223" s="18" t="inlineStr">
        <is>
          <t>Status</t>
        </is>
      </c>
      <c r="E223" s="18" t="inlineStr">
        <is>
          <t>Checked By</t>
        </is>
      </c>
    </row>
    <row r="224">
      <c r="A224" s="4" t="inlineStr">
        <is>
          <t>2026-07-02</t>
        </is>
      </c>
      <c r="B224" s="4" t="inlineStr">
        <is>
          <t>UPI/618398394062/Akansha Umesh</t>
        </is>
      </c>
      <c r="C224" s="5" t="n">
        <v>7000</v>
      </c>
      <c r="D224" s="19" t="inlineStr">
        <is>
          <t>UNPAID</t>
        </is>
      </c>
      <c r="E224" s="4" t="inlineStr"/>
    </row>
    <row r="226">
      <c r="A226" s="14" t="inlineStr">
        <is>
          <t>SONALI HADASE SALARY  (1 txn)</t>
        </is>
      </c>
      <c r="B226" s="15" t="n"/>
      <c r="C226" s="15" t="n"/>
      <c r="D226" s="16" t="inlineStr">
        <is>
          <t>Accrued:</t>
        </is>
      </c>
      <c r="E226" s="17" t="n">
        <v>7000</v>
      </c>
    </row>
    <row r="227">
      <c r="A227" s="18" t="inlineStr">
        <is>
          <t>Date</t>
        </is>
      </c>
      <c r="B227" s="18" t="inlineStr">
        <is>
          <t>Bank Description</t>
        </is>
      </c>
      <c r="C227" s="18" t="inlineStr">
        <is>
          <t>Amount</t>
        </is>
      </c>
      <c r="D227" s="18" t="inlineStr">
        <is>
          <t>Status</t>
        </is>
      </c>
      <c r="E227" s="18" t="inlineStr">
        <is>
          <t>Checked By</t>
        </is>
      </c>
    </row>
    <row r="228">
      <c r="A228" s="4" t="inlineStr">
        <is>
          <t>2026-07-02</t>
        </is>
      </c>
      <c r="B228" s="4" t="inlineStr">
        <is>
          <t>UPI/654921714845/SONALI PRAVIN</t>
        </is>
      </c>
      <c r="C228" s="5" t="n">
        <v>7000</v>
      </c>
      <c r="D228" s="19" t="inlineStr">
        <is>
          <t>UNPAID</t>
        </is>
      </c>
      <c r="E228" s="4" t="inlineStr"/>
    </row>
    <row r="230">
      <c r="A230" s="14" t="inlineStr">
        <is>
          <t>YASH THERE SALARY  (2 txns)</t>
        </is>
      </c>
      <c r="B230" s="15" t="n"/>
      <c r="C230" s="15" t="n"/>
      <c r="D230" s="16" t="inlineStr">
        <is>
          <t>Accrued:</t>
        </is>
      </c>
      <c r="E230" s="17" t="n">
        <v>6328</v>
      </c>
    </row>
    <row r="231">
      <c r="A231" s="18" t="inlineStr">
        <is>
          <t>Date</t>
        </is>
      </c>
      <c r="B231" s="18" t="inlineStr">
        <is>
          <t>Bank Description</t>
        </is>
      </c>
      <c r="C231" s="18" t="inlineStr">
        <is>
          <t>Amount</t>
        </is>
      </c>
      <c r="D231" s="18" t="inlineStr">
        <is>
          <t>Status</t>
        </is>
      </c>
      <c r="E231" s="18" t="inlineStr">
        <is>
          <t>Checked By</t>
        </is>
      </c>
    </row>
    <row r="232">
      <c r="A232" s="4" t="inlineStr">
        <is>
          <t>2026-07-08</t>
        </is>
      </c>
      <c r="B232" s="4" t="inlineStr">
        <is>
          <t>UPI/655529961342/Master YASH R</t>
        </is>
      </c>
      <c r="C232" s="5" t="n">
        <v>1406</v>
      </c>
      <c r="D232" s="19" t="inlineStr">
        <is>
          <t>UNPAID</t>
        </is>
      </c>
      <c r="E232" s="4" t="inlineStr"/>
    </row>
    <row r="233">
      <c r="A233" s="4" t="inlineStr">
        <is>
          <t>2026-07-02</t>
        </is>
      </c>
      <c r="B233" s="4" t="inlineStr">
        <is>
          <t>UPI/654923210273/Master YASH R</t>
        </is>
      </c>
      <c r="C233" s="5" t="n">
        <v>4922</v>
      </c>
      <c r="D233" s="19" t="inlineStr">
        <is>
          <t>UNPAID</t>
        </is>
      </c>
      <c r="E233" s="4" t="inlineStr"/>
    </row>
    <row r="235">
      <c r="A235" s="14" t="inlineStr">
        <is>
          <t>SHILPA KHANDARE SALARY  (1 txn)</t>
        </is>
      </c>
      <c r="B235" s="15" t="n"/>
      <c r="C235" s="15" t="n"/>
      <c r="D235" s="16" t="inlineStr">
        <is>
          <t>Accrued:</t>
        </is>
      </c>
      <c r="E235" s="17" t="n">
        <v>6194</v>
      </c>
    </row>
    <row r="236">
      <c r="A236" s="18" t="inlineStr">
        <is>
          <t>Date</t>
        </is>
      </c>
      <c r="B236" s="18" t="inlineStr">
        <is>
          <t>Bank Description</t>
        </is>
      </c>
      <c r="C236" s="18" t="inlineStr">
        <is>
          <t>Amount</t>
        </is>
      </c>
      <c r="D236" s="18" t="inlineStr">
        <is>
          <t>Status</t>
        </is>
      </c>
      <c r="E236" s="18" t="inlineStr">
        <is>
          <t>Checked By</t>
        </is>
      </c>
    </row>
    <row r="237">
      <c r="A237" s="4" t="inlineStr">
        <is>
          <t>2026-07-02</t>
        </is>
      </c>
      <c r="B237" s="4" t="inlineStr">
        <is>
          <t>UPI/654977000454/Rahul Dilip K</t>
        </is>
      </c>
      <c r="C237" s="5" t="n">
        <v>6194</v>
      </c>
      <c r="D237" s="19" t="inlineStr">
        <is>
          <t>UNPAID</t>
        </is>
      </c>
      <c r="E237" s="4" t="inlineStr"/>
    </row>
    <row r="239">
      <c r="A239" s="14" t="inlineStr">
        <is>
          <t>DIPAK KUDE SALARY  (2 txns)</t>
        </is>
      </c>
      <c r="B239" s="15" t="n"/>
      <c r="C239" s="15" t="n"/>
      <c r="D239" s="16" t="inlineStr">
        <is>
          <t>Accrued:</t>
        </is>
      </c>
      <c r="E239" s="17" t="n">
        <v>6040</v>
      </c>
    </row>
    <row r="240">
      <c r="A240" s="18" t="inlineStr">
        <is>
          <t>Date</t>
        </is>
      </c>
      <c r="B240" s="18" t="inlineStr">
        <is>
          <t>Bank Description</t>
        </is>
      </c>
      <c r="C240" s="18" t="inlineStr">
        <is>
          <t>Amount</t>
        </is>
      </c>
      <c r="D240" s="18" t="inlineStr">
        <is>
          <t>Status</t>
        </is>
      </c>
      <c r="E240" s="18" t="inlineStr">
        <is>
          <t>Checked By</t>
        </is>
      </c>
    </row>
    <row r="241">
      <c r="A241" s="4" t="inlineStr">
        <is>
          <t>2026-07-15</t>
        </is>
      </c>
      <c r="B241" s="4" t="inlineStr">
        <is>
          <t>UPI/656216809748/Deepak Baburao</t>
        </is>
      </c>
      <c r="C241" s="5" t="n">
        <v>1540</v>
      </c>
      <c r="D241" s="19" t="inlineStr">
        <is>
          <t>UNPAID</t>
        </is>
      </c>
      <c r="E241" s="4" t="inlineStr"/>
    </row>
    <row r="242">
      <c r="A242" s="4" t="inlineStr">
        <is>
          <t>2026-07-03</t>
        </is>
      </c>
      <c r="B242" s="4" t="inlineStr">
        <is>
          <t>UPI/655095684428/Deepak Baburao</t>
        </is>
      </c>
      <c r="C242" s="5" t="n">
        <v>4500</v>
      </c>
      <c r="D242" s="19" t="inlineStr">
        <is>
          <t>UNPAID</t>
        </is>
      </c>
      <c r="E242" s="4" t="inlineStr"/>
    </row>
    <row r="244">
      <c r="A244" s="14" t="inlineStr">
        <is>
          <t>TRANSPORT  (2 txns)</t>
        </is>
      </c>
      <c r="B244" s="15" t="n"/>
      <c r="C244" s="15" t="n"/>
      <c r="D244" s="16" t="inlineStr">
        <is>
          <t>Accrued:</t>
        </is>
      </c>
      <c r="E244" s="17" t="n">
        <v>5300</v>
      </c>
    </row>
    <row r="245">
      <c r="A245" s="18" t="inlineStr">
        <is>
          <t>Date</t>
        </is>
      </c>
      <c r="B245" s="18" t="inlineStr">
        <is>
          <t>Bank Description</t>
        </is>
      </c>
      <c r="C245" s="18" t="inlineStr">
        <is>
          <t>Amount</t>
        </is>
      </c>
      <c r="D245" s="18" t="inlineStr">
        <is>
          <t>Status</t>
        </is>
      </c>
      <c r="E245" s="18" t="inlineStr">
        <is>
          <t>Checked By</t>
        </is>
      </c>
    </row>
    <row r="246">
      <c r="A246" s="4" t="inlineStr">
        <is>
          <t>2026-07-17</t>
        </is>
      </c>
      <c r="B246" s="4" t="inlineStr">
        <is>
          <t>UPI/656414115801/ZAHID KHAN</t>
        </is>
      </c>
      <c r="C246" s="5" t="n">
        <v>2000</v>
      </c>
      <c r="D246" s="19" t="inlineStr">
        <is>
          <t>UNPAID</t>
        </is>
      </c>
      <c r="E246" s="4" t="inlineStr"/>
    </row>
    <row r="247">
      <c r="A247" s="4" t="inlineStr">
        <is>
          <t>2026-07-02</t>
        </is>
      </c>
      <c r="B247" s="4" t="inlineStr">
        <is>
          <t>UPI/618391976592/ZAHID KHAN</t>
        </is>
      </c>
      <c r="C247" s="5" t="n">
        <v>3300</v>
      </c>
      <c r="D247" s="19" t="inlineStr">
        <is>
          <t>UNPAID</t>
        </is>
      </c>
      <c r="E247" s="4" t="inlineStr"/>
    </row>
    <row r="249">
      <c r="A249" s="14" t="inlineStr">
        <is>
          <t>SHRAWANI KSHIRSAGAR SALARY  (1 txn)</t>
        </is>
      </c>
      <c r="B249" s="15" t="n"/>
      <c r="C249" s="15" t="n"/>
      <c r="D249" s="16" t="inlineStr">
        <is>
          <t>Accrued:</t>
        </is>
      </c>
      <c r="E249" s="17" t="n">
        <v>4393</v>
      </c>
    </row>
    <row r="250">
      <c r="A250" s="18" t="inlineStr">
        <is>
          <t>Date</t>
        </is>
      </c>
      <c r="B250" s="18" t="inlineStr">
        <is>
          <t>Bank Description</t>
        </is>
      </c>
      <c r="C250" s="18" t="inlineStr">
        <is>
          <t>Amount</t>
        </is>
      </c>
      <c r="D250" s="18" t="inlineStr">
        <is>
          <t>Status</t>
        </is>
      </c>
      <c r="E250" s="18" t="inlineStr">
        <is>
          <t>Checked By</t>
        </is>
      </c>
    </row>
    <row r="251">
      <c r="A251" s="4" t="inlineStr">
        <is>
          <t>2026-07-02</t>
        </is>
      </c>
      <c r="B251" s="4" t="inlineStr">
        <is>
          <t>UPI/654999012497/SHRAWANI PRASAD</t>
        </is>
      </c>
      <c r="C251" s="5" t="n">
        <v>4393</v>
      </c>
      <c r="D251" s="19" t="inlineStr">
        <is>
          <t>UNPAID</t>
        </is>
      </c>
      <c r="E251" s="4" t="inlineStr"/>
    </row>
    <row r="253">
      <c r="A253" s="14" t="inlineStr">
        <is>
          <t>OFFICE EXPENSE  (6 txns)</t>
        </is>
      </c>
      <c r="B253" s="15" t="n"/>
      <c r="C253" s="15" t="n"/>
      <c r="D253" s="16" t="inlineStr">
        <is>
          <t>Accrued:</t>
        </is>
      </c>
      <c r="E253" s="17" t="n">
        <v>2905</v>
      </c>
    </row>
    <row r="254">
      <c r="A254" s="18" t="inlineStr">
        <is>
          <t>Date</t>
        </is>
      </c>
      <c r="B254" s="18" t="inlineStr">
        <is>
          <t>Bank Description</t>
        </is>
      </c>
      <c r="C254" s="18" t="inlineStr">
        <is>
          <t>Amount</t>
        </is>
      </c>
      <c r="D254" s="18" t="inlineStr">
        <is>
          <t>Status</t>
        </is>
      </c>
      <c r="E254" s="18" t="inlineStr">
        <is>
          <t>Checked By</t>
        </is>
      </c>
    </row>
    <row r="255">
      <c r="A255" s="4" t="inlineStr">
        <is>
          <t>2026-07-20</t>
        </is>
      </c>
      <c r="B255" s="4" t="inlineStr">
        <is>
          <t>UPI/656849394051/CHANDA PLASTIC</t>
        </is>
      </c>
      <c r="C255" s="5" t="n">
        <v>200</v>
      </c>
      <c r="D255" s="19" t="inlineStr">
        <is>
          <t>UNPAID</t>
        </is>
      </c>
      <c r="E255" s="4" t="inlineStr">
        <is>
          <t>PRAJAKTA</t>
        </is>
      </c>
    </row>
    <row r="256">
      <c r="A256" s="4" t="inlineStr">
        <is>
          <t>2026-07-15</t>
        </is>
      </c>
      <c r="B256" s="4" t="inlineStr">
        <is>
          <t>UPI/619735227956/LeChef Restaurant</t>
        </is>
      </c>
      <c r="C256" s="5" t="n">
        <v>270</v>
      </c>
      <c r="D256" s="19" t="inlineStr">
        <is>
          <t>UNPAID</t>
        </is>
      </c>
      <c r="E256" s="4" t="inlineStr"/>
    </row>
    <row r="257">
      <c r="A257" s="4" t="inlineStr">
        <is>
          <t>2026-07-13</t>
        </is>
      </c>
      <c r="B257" s="4" t="inlineStr">
        <is>
          <t>UPI/619583979492/Rahat Bakery</t>
        </is>
      </c>
      <c r="C257" s="5" t="n">
        <v>230</v>
      </c>
      <c r="D257" s="19" t="inlineStr">
        <is>
          <t>UNPAID</t>
        </is>
      </c>
      <c r="E257" s="4" t="inlineStr"/>
    </row>
    <row r="258">
      <c r="A258" s="4" t="inlineStr">
        <is>
          <t>2026-07-11</t>
        </is>
      </c>
      <c r="B258" s="4" t="inlineStr">
        <is>
          <t>UPI/619218326451/Rahat Bakery</t>
        </is>
      </c>
      <c r="C258" s="5" t="n">
        <v>280</v>
      </c>
      <c r="D258" s="19" t="inlineStr">
        <is>
          <t>UNPAID</t>
        </is>
      </c>
      <c r="E258" s="4" t="inlineStr"/>
    </row>
    <row r="259">
      <c r="A259" s="4" t="inlineStr">
        <is>
          <t>2026-07-10</t>
        </is>
      </c>
      <c r="B259" s="4" t="inlineStr">
        <is>
          <t>UPI/655869691574/Sai Industries</t>
        </is>
      </c>
      <c r="C259" s="5" t="n">
        <v>1175</v>
      </c>
      <c r="D259" s="19" t="inlineStr">
        <is>
          <t>UNPAID</t>
        </is>
      </c>
      <c r="E259" s="4" t="inlineStr"/>
    </row>
    <row r="260">
      <c r="A260" s="4" t="inlineStr">
        <is>
          <t>2026-07-08</t>
        </is>
      </c>
      <c r="B260" s="4" t="inlineStr">
        <is>
          <t>UPI/655581633210/ELLORA STATIONERY</t>
        </is>
      </c>
      <c r="C260" s="5" t="n">
        <v>750</v>
      </c>
      <c r="D260" s="19" t="inlineStr">
        <is>
          <t>UNPAID</t>
        </is>
      </c>
      <c r="E260" s="4" t="inlineStr"/>
    </row>
    <row r="262">
      <c r="A262" s="14" t="inlineStr">
        <is>
          <t>MOBILE RECHARGE  (7 txns)</t>
        </is>
      </c>
      <c r="B262" s="15" t="n"/>
      <c r="C262" s="15" t="n"/>
      <c r="D262" s="16" t="inlineStr">
        <is>
          <t>Accrued:</t>
        </is>
      </c>
      <c r="E262" s="17" t="n">
        <v>2106.3</v>
      </c>
    </row>
    <row r="263">
      <c r="A263" s="18" t="inlineStr">
        <is>
          <t>Date</t>
        </is>
      </c>
      <c r="B263" s="18" t="inlineStr">
        <is>
          <t>Bank Description</t>
        </is>
      </c>
      <c r="C263" s="18" t="inlineStr">
        <is>
          <t>Amount</t>
        </is>
      </c>
      <c r="D263" s="18" t="inlineStr">
        <is>
          <t>Status</t>
        </is>
      </c>
      <c r="E263" s="18" t="inlineStr">
        <is>
          <t>Checked By</t>
        </is>
      </c>
    </row>
    <row r="264">
      <c r="A264" s="4" t="inlineStr">
        <is>
          <t>2026-07-22</t>
        </is>
      </c>
      <c r="B264" s="4" t="inlineStr">
        <is>
          <t>UPI/620323759219/Google India</t>
        </is>
      </c>
      <c r="C264" s="5" t="n">
        <v>300.9</v>
      </c>
      <c r="D264" s="20" t="inlineStr">
        <is>
          <t>PAID</t>
        </is>
      </c>
      <c r="E264" s="4" t="inlineStr">
        <is>
          <t>Sanket</t>
        </is>
      </c>
    </row>
    <row r="265">
      <c r="A265" s="4" t="inlineStr">
        <is>
          <t>2026-07-18</t>
        </is>
      </c>
      <c r="B265" s="4" t="inlineStr">
        <is>
          <t>UPI/656596694048/Google India</t>
        </is>
      </c>
      <c r="C265" s="5" t="n">
        <v>300.9</v>
      </c>
      <c r="D265" s="19" t="inlineStr">
        <is>
          <t>UNPAID</t>
        </is>
      </c>
      <c r="E265" s="4" t="inlineStr"/>
    </row>
    <row r="266">
      <c r="A266" s="4" t="inlineStr">
        <is>
          <t>2026-07-14</t>
        </is>
      </c>
      <c r="B266" s="4" t="inlineStr">
        <is>
          <t>UPI/619599838349/Google India</t>
        </is>
      </c>
      <c r="C266" s="5" t="n">
        <v>300.9</v>
      </c>
      <c r="D266" s="19" t="inlineStr">
        <is>
          <t>UNPAID</t>
        </is>
      </c>
      <c r="E266" s="4" t="inlineStr"/>
    </row>
    <row r="267">
      <c r="A267" s="4" t="inlineStr">
        <is>
          <t>2026-07-12</t>
        </is>
      </c>
      <c r="B267" s="4" t="inlineStr">
        <is>
          <t>UPI/656045085531/Euronet Services</t>
        </is>
      </c>
      <c r="C267" s="5" t="n">
        <v>300.9</v>
      </c>
      <c r="D267" s="19" t="inlineStr">
        <is>
          <t>UNPAID</t>
        </is>
      </c>
      <c r="E267" s="4" t="inlineStr"/>
    </row>
    <row r="268">
      <c r="A268" s="4" t="inlineStr">
        <is>
          <t>2026-07-11</t>
        </is>
      </c>
      <c r="B268" s="4" t="inlineStr">
        <is>
          <t>UPI/619212406573/Google India</t>
        </is>
      </c>
      <c r="C268" s="5" t="n">
        <v>300.9</v>
      </c>
      <c r="D268" s="19" t="inlineStr">
        <is>
          <t>UNPAID</t>
        </is>
      </c>
      <c r="E268" s="4" t="inlineStr"/>
    </row>
    <row r="269">
      <c r="A269" s="4" t="inlineStr">
        <is>
          <t>2026-07-03</t>
        </is>
      </c>
      <c r="B269" s="4" t="inlineStr">
        <is>
          <t>UPI/655067262799/Euronet Services</t>
        </is>
      </c>
      <c r="C269" s="5" t="n">
        <v>300.9</v>
      </c>
      <c r="D269" s="19" t="inlineStr">
        <is>
          <t>UNPAID</t>
        </is>
      </c>
      <c r="E269" s="4" t="inlineStr"/>
    </row>
    <row r="270">
      <c r="A270" s="4" t="inlineStr">
        <is>
          <t>2026-07-03</t>
        </is>
      </c>
      <c r="B270" s="4" t="inlineStr">
        <is>
          <t>UPI/655098265747/Euronet Services</t>
        </is>
      </c>
      <c r="C270" s="5" t="n">
        <v>300.9</v>
      </c>
      <c r="D270" s="19" t="inlineStr">
        <is>
          <t>UNPAID</t>
        </is>
      </c>
      <c r="E270" s="4" t="inlineStr"/>
    </row>
    <row r="272">
      <c r="A272" s="14" t="inlineStr">
        <is>
          <t>NAVYA DISHA TRANSPORT  (5 txns)</t>
        </is>
      </c>
      <c r="B272" s="15" t="n"/>
      <c r="C272" s="15" t="n"/>
      <c r="D272" s="16" t="inlineStr">
        <is>
          <t>Accrued:</t>
        </is>
      </c>
      <c r="E272" s="17" t="n">
        <v>1170</v>
      </c>
    </row>
    <row r="273">
      <c r="A273" s="18" t="inlineStr">
        <is>
          <t>Date</t>
        </is>
      </c>
      <c r="B273" s="18" t="inlineStr">
        <is>
          <t>Bank Description</t>
        </is>
      </c>
      <c r="C273" s="18" t="inlineStr">
        <is>
          <t>Amount</t>
        </is>
      </c>
      <c r="D273" s="18" t="inlineStr">
        <is>
          <t>Status</t>
        </is>
      </c>
      <c r="E273" s="18" t="inlineStr">
        <is>
          <t>Checked By</t>
        </is>
      </c>
    </row>
    <row r="274">
      <c r="A274" s="4" t="inlineStr">
        <is>
          <t>2026-07-22</t>
        </is>
      </c>
      <c r="B274" s="4" t="inlineStr">
        <is>
          <t>UPI/620369676285/saachi logistics</t>
        </is>
      </c>
      <c r="C274" s="5" t="n">
        <v>320</v>
      </c>
      <c r="D274" s="20" t="inlineStr">
        <is>
          <t>PAID</t>
        </is>
      </c>
      <c r="E274" s="4" t="inlineStr">
        <is>
          <t>Sanket</t>
        </is>
      </c>
    </row>
    <row r="275">
      <c r="A275" s="4" t="inlineStr">
        <is>
          <t>2026-07-17</t>
        </is>
      </c>
      <c r="B275" s="4" t="inlineStr">
        <is>
          <t>UPI/656573898091/saachi logistics</t>
        </is>
      </c>
      <c r="C275" s="5" t="n">
        <v>80</v>
      </c>
      <c r="D275" s="19" t="inlineStr">
        <is>
          <t>UNPAID</t>
        </is>
      </c>
      <c r="E275" s="4" t="inlineStr"/>
    </row>
    <row r="276">
      <c r="A276" s="4" t="inlineStr">
        <is>
          <t>2026-07-13</t>
        </is>
      </c>
      <c r="B276" s="4" t="inlineStr">
        <is>
          <t>UPI/619567955762/saachi logistics</t>
        </is>
      </c>
      <c r="C276" s="5" t="n">
        <v>250</v>
      </c>
      <c r="D276" s="19" t="inlineStr">
        <is>
          <t>UNPAID</t>
        </is>
      </c>
      <c r="E276" s="4" t="inlineStr"/>
    </row>
    <row r="277">
      <c r="A277" s="4" t="inlineStr">
        <is>
          <t>2026-07-04</t>
        </is>
      </c>
      <c r="B277" s="4" t="inlineStr">
        <is>
          <t>UPI/618547742104/saachi logistics</t>
        </is>
      </c>
      <c r="C277" s="5" t="n">
        <v>440</v>
      </c>
      <c r="D277" s="19" t="inlineStr">
        <is>
          <t>UNPAID</t>
        </is>
      </c>
      <c r="E277" s="4" t="inlineStr"/>
    </row>
    <row r="278">
      <c r="A278" s="4" t="inlineStr">
        <is>
          <t>2026-07-02</t>
        </is>
      </c>
      <c r="B278" s="4" t="inlineStr">
        <is>
          <t>UPI/655002177526/saachi logistics</t>
        </is>
      </c>
      <c r="C278" s="5" t="n">
        <v>80</v>
      </c>
      <c r="D278" s="19" t="inlineStr">
        <is>
          <t>UNPAID</t>
        </is>
      </c>
      <c r="E278" s="4" t="inlineStr"/>
    </row>
    <row r="280">
      <c r="A280" s="14" t="inlineStr">
        <is>
          <t>PAPPU SOUND  (1 txn)</t>
        </is>
      </c>
      <c r="B280" s="15" t="n"/>
      <c r="C280" s="15" t="n"/>
      <c r="D280" s="16" t="inlineStr">
        <is>
          <t>Accrued:</t>
        </is>
      </c>
      <c r="E280" s="17" t="n">
        <v>100</v>
      </c>
    </row>
    <row r="281">
      <c r="A281" s="18" t="inlineStr">
        <is>
          <t>Date</t>
        </is>
      </c>
      <c r="B281" s="18" t="inlineStr">
        <is>
          <t>Bank Description</t>
        </is>
      </c>
      <c r="C281" s="18" t="inlineStr">
        <is>
          <t>Amount</t>
        </is>
      </c>
      <c r="D281" s="18" t="inlineStr">
        <is>
          <t>Status</t>
        </is>
      </c>
      <c r="E281" s="18" t="inlineStr">
        <is>
          <t>Checked By</t>
        </is>
      </c>
    </row>
    <row r="282">
      <c r="A282" s="4" t="inlineStr">
        <is>
          <t>2026-07-23</t>
        </is>
      </c>
      <c r="B282" s="4" t="inlineStr">
        <is>
          <t>UPI/620598614658/K PAPPU P A D J SOUND</t>
        </is>
      </c>
      <c r="C282" s="5" t="n">
        <v>100</v>
      </c>
      <c r="D282" s="19" t="inlineStr">
        <is>
          <t>UNPAID</t>
        </is>
      </c>
      <c r="E282" s="4" t="inlineStr">
        <is>
          <t>PRAJAKTA</t>
        </is>
      </c>
    </row>
    <row r="284">
      <c r="A284" s="14" t="inlineStr">
        <is>
          <t>SHEKHAWAT PARCEL  (1 txn)</t>
        </is>
      </c>
      <c r="B284" s="15" t="n"/>
      <c r="C284" s="15" t="n"/>
      <c r="D284" s="16" t="inlineStr">
        <is>
          <t>Accrued:</t>
        </is>
      </c>
      <c r="E284" s="17" t="n">
        <v>70</v>
      </c>
    </row>
    <row r="285">
      <c r="A285" s="18" t="inlineStr">
        <is>
          <t>Date</t>
        </is>
      </c>
      <c r="B285" s="18" t="inlineStr">
        <is>
          <t>Bank Description</t>
        </is>
      </c>
      <c r="C285" s="18" t="inlineStr">
        <is>
          <t>Amount</t>
        </is>
      </c>
      <c r="D285" s="18" t="inlineStr">
        <is>
          <t>Status</t>
        </is>
      </c>
      <c r="E285" s="18" t="inlineStr">
        <is>
          <t>Checked By</t>
        </is>
      </c>
    </row>
    <row r="286">
      <c r="A286" s="4" t="inlineStr">
        <is>
          <t>2026-07-24</t>
        </is>
      </c>
      <c r="B286" s="4" t="inlineStr">
        <is>
          <t>UPI/620612374152/Gajendra Singh Hanuman Singh Rath</t>
        </is>
      </c>
      <c r="C286" s="5" t="n">
        <v>70</v>
      </c>
      <c r="D286" s="19" t="inlineStr">
        <is>
          <t>UNPAID</t>
        </is>
      </c>
      <c r="E286" s="4" t="inlineStr">
        <is>
          <t>PRAJAKTA</t>
        </is>
      </c>
    </row>
  </sheetData>
  <mergeCells count="36">
    <mergeCell ref="A137:C137"/>
    <mergeCell ref="A177:C177"/>
    <mergeCell ref="A80:C80"/>
    <mergeCell ref="A118:C118"/>
    <mergeCell ref="A149:C149"/>
    <mergeCell ref="A1:E1"/>
    <mergeCell ref="A192:C192"/>
    <mergeCell ref="A239:C239"/>
    <mergeCell ref="A272:C272"/>
    <mergeCell ref="A235:C235"/>
    <mergeCell ref="A76:C76"/>
    <mergeCell ref="A126:C126"/>
    <mergeCell ref="A159:C159"/>
    <mergeCell ref="A244:C244"/>
    <mergeCell ref="A262:C262"/>
    <mergeCell ref="A215:C215"/>
    <mergeCell ref="A253:C253"/>
    <mergeCell ref="A280:C280"/>
    <mergeCell ref="A165:C165"/>
    <mergeCell ref="A68:C68"/>
    <mergeCell ref="A44:C44"/>
    <mergeCell ref="A2:E2"/>
    <mergeCell ref="A230:C230"/>
    <mergeCell ref="A249:C249"/>
    <mergeCell ref="A111:C111"/>
    <mergeCell ref="A202:C202"/>
    <mergeCell ref="A173:C173"/>
    <mergeCell ref="A143:C143"/>
    <mergeCell ref="A226:C226"/>
    <mergeCell ref="A182:C182"/>
    <mergeCell ref="A284:C284"/>
    <mergeCell ref="A222:C222"/>
    <mergeCell ref="A107:C107"/>
    <mergeCell ref="A132:C132"/>
    <mergeCell ref="A153:C153"/>
    <mergeCell ref="A187:C18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3" customWidth="1" min="3" max="3"/>
    <col width="10" customWidth="1" min="4" max="4"/>
    <col width="42" customWidth="1" min="5" max="5"/>
  </cols>
  <sheetData>
    <row r="1">
      <c r="A1" s="3" t="inlineStr">
        <is>
          <t>Date</t>
        </is>
      </c>
      <c r="B1" s="3" t="inlineStr">
        <is>
          <t>Vendor</t>
        </is>
      </c>
      <c r="C1" s="3" t="inlineStr">
        <is>
          <t>Amount</t>
        </is>
      </c>
      <c r="D1" s="3" t="inlineStr">
        <is>
          <t>Status</t>
        </is>
      </c>
      <c r="E1" s="3" t="inlineStr">
        <is>
          <t>Bank Description</t>
        </is>
      </c>
    </row>
    <row r="2">
      <c r="A2" s="9" t="inlineStr">
        <is>
          <t>2026-07-25</t>
        </is>
      </c>
      <c r="B2" s="9" t="inlineStr">
        <is>
          <t>SOFTLINK DIGITAL</t>
        </is>
      </c>
      <c r="C2" s="10" t="n">
        <v>10000</v>
      </c>
      <c r="D2" s="9" t="inlineStr">
        <is>
          <t>UNPAID</t>
        </is>
      </c>
      <c r="E2" s="9" t="inlineStr">
        <is>
          <t>UPI/620606075559/SOFTLINK DIGITAL</t>
        </is>
      </c>
    </row>
    <row r="3">
      <c r="A3" s="9" t="inlineStr">
        <is>
          <t>2026-07-22</t>
        </is>
      </c>
      <c r="B3" s="9" t="inlineStr">
        <is>
          <t>SCANO ( AMOL BAMNOTE)</t>
        </is>
      </c>
      <c r="C3" s="10" t="n">
        <v>20000</v>
      </c>
      <c r="D3" s="9" t="inlineStr">
        <is>
          <t>UNPAID</t>
        </is>
      </c>
      <c r="E3" s="9" t="inlineStr">
        <is>
          <t>UPI/657058630844/9975654011 ptyes</t>
        </is>
      </c>
    </row>
    <row r="4">
      <c r="A4" s="9" t="inlineStr">
        <is>
          <t>2026-07-22</t>
        </is>
      </c>
      <c r="B4" s="9" t="inlineStr">
        <is>
          <t>VIJAYALAXMI ( RAJESH BHAISE)</t>
        </is>
      </c>
      <c r="C4" s="10" t="n">
        <v>10000</v>
      </c>
      <c r="D4" s="9" t="inlineStr">
        <is>
          <t>UNPAID</t>
        </is>
      </c>
      <c r="E4" s="9" t="inlineStr">
        <is>
          <t>UPI/656966200400/RAJESH KUSUMAKAR BHAISE</t>
        </is>
      </c>
    </row>
    <row r="5">
      <c r="A5" s="9" t="inlineStr">
        <is>
          <t>2026-07-21</t>
        </is>
      </c>
      <c r="B5" s="9" t="inlineStr">
        <is>
          <t>RAZA ENVELOPE</t>
        </is>
      </c>
      <c r="C5" s="10" t="n">
        <v>10000</v>
      </c>
      <c r="D5" s="9" t="inlineStr">
        <is>
          <t>UNPAID</t>
        </is>
      </c>
      <c r="E5" s="9" t="inlineStr">
        <is>
          <t>UPI/620295317811/SHEIKH SHOHEB</t>
        </is>
      </c>
    </row>
    <row r="6">
      <c r="A6" s="9" t="inlineStr">
        <is>
          <t>2026-07-17</t>
        </is>
      </c>
      <c r="B6" s="9" t="inlineStr">
        <is>
          <t>DHAVAL TRADERS</t>
        </is>
      </c>
      <c r="C6" s="10" t="n">
        <v>12740</v>
      </c>
      <c r="D6" s="9" t="inlineStr">
        <is>
          <t>UNPAID</t>
        </is>
      </c>
      <c r="E6" s="9" t="inlineStr">
        <is>
          <t>UPI/656582874077/Dhawal Ponda</t>
        </is>
      </c>
    </row>
    <row r="7">
      <c r="A7" s="9" t="inlineStr">
        <is>
          <t>2026-07-17</t>
        </is>
      </c>
      <c r="B7" s="9" t="inlineStr">
        <is>
          <t>RAJASHREE PAPERS</t>
        </is>
      </c>
      <c r="C7" s="10" t="n">
        <v>33099</v>
      </c>
      <c r="D7" s="9" t="inlineStr">
        <is>
          <t>UNPAID</t>
        </is>
      </c>
      <c r="E7" s="9" t="inlineStr">
        <is>
          <t>IMPS/619817128463/RAJSHREE PAPERS</t>
        </is>
      </c>
    </row>
    <row r="8">
      <c r="A8" s="9" t="inlineStr">
        <is>
          <t>2026-07-15</t>
        </is>
      </c>
      <c r="B8" s="9" t="inlineStr">
        <is>
          <t>JINDAL NOVELTY</t>
        </is>
      </c>
      <c r="C8" s="10" t="n">
        <v>2546</v>
      </c>
      <c r="D8" s="9" t="inlineStr">
        <is>
          <t>UNPAID</t>
        </is>
      </c>
      <c r="E8" s="9" t="inlineStr">
        <is>
          <t>UPI/619719417721/VANSH CREATIONS</t>
        </is>
      </c>
    </row>
    <row r="9">
      <c r="A9" s="9" t="inlineStr">
        <is>
          <t>2026-07-14</t>
        </is>
      </c>
      <c r="B9" s="9" t="inlineStr">
        <is>
          <t>GANDHI CARD</t>
        </is>
      </c>
      <c r="C9" s="10" t="n">
        <v>19456</v>
      </c>
      <c r="D9" s="9" t="inlineStr">
        <is>
          <t>UNPAID</t>
        </is>
      </c>
      <c r="E9" s="9" t="inlineStr">
        <is>
          <t>UPI/656291644262/GANDHI CARD</t>
        </is>
      </c>
    </row>
    <row r="10">
      <c r="A10" s="9" t="inlineStr">
        <is>
          <t>2026-07-14</t>
        </is>
      </c>
      <c r="B10" s="9" t="inlineStr">
        <is>
          <t>RAZA ENVELOPE</t>
        </is>
      </c>
      <c r="C10" s="10" t="n">
        <v>15000</v>
      </c>
      <c r="D10" s="9" t="inlineStr">
        <is>
          <t>UNPAID</t>
        </is>
      </c>
      <c r="E10" s="9" t="inlineStr">
        <is>
          <t>UPI/619540165637/SHEIKH SHOHEB</t>
        </is>
      </c>
    </row>
    <row r="11">
      <c r="A11" s="9" t="inlineStr">
        <is>
          <t>2026-07-14</t>
        </is>
      </c>
      <c r="B11" s="9" t="inlineStr">
        <is>
          <t>ARYAN CARD</t>
        </is>
      </c>
      <c r="C11" s="10" t="n">
        <v>15000</v>
      </c>
      <c r="D11" s="9" t="inlineStr">
        <is>
          <t>UNPAID</t>
        </is>
      </c>
      <c r="E11" s="9" t="inlineStr">
        <is>
          <t>UPI/619589669396/MS ARYAN CARD</t>
        </is>
      </c>
    </row>
    <row r="12">
      <c r="A12" s="9" t="inlineStr">
        <is>
          <t>2026-07-14</t>
        </is>
      </c>
      <c r="B12" s="9" t="inlineStr">
        <is>
          <t>VIJAYALAXMI ( RAJESH BHAISE)</t>
        </is>
      </c>
      <c r="C12" s="10" t="n">
        <v>15000</v>
      </c>
      <c r="D12" s="9" t="inlineStr">
        <is>
          <t>UNPAID</t>
        </is>
      </c>
      <c r="E12" s="9" t="inlineStr">
        <is>
          <t>UPI/619557689053/RAJESH KUSUMAKAR BHAISE</t>
        </is>
      </c>
    </row>
    <row r="13">
      <c r="A13" s="9" t="inlineStr">
        <is>
          <t>2026-07-12</t>
        </is>
      </c>
      <c r="B13" s="9" t="inlineStr">
        <is>
          <t>GANDHI CARD</t>
        </is>
      </c>
      <c r="C13" s="10" t="n">
        <v>28950</v>
      </c>
      <c r="D13" s="9" t="inlineStr">
        <is>
          <t>UNPAID</t>
        </is>
      </c>
      <c r="E13" s="9" t="inlineStr">
        <is>
          <t>UPI/619340263819/EXTRA EFFECT</t>
        </is>
      </c>
    </row>
    <row r="14">
      <c r="A14" s="9" t="inlineStr">
        <is>
          <t>2026-07-12</t>
        </is>
      </c>
      <c r="B14" s="9" t="inlineStr">
        <is>
          <t>RAZA ENVELOPE</t>
        </is>
      </c>
      <c r="C14" s="10" t="n">
        <v>10000</v>
      </c>
      <c r="D14" s="9" t="inlineStr">
        <is>
          <t>UNPAID</t>
        </is>
      </c>
      <c r="E14" s="9" t="inlineStr">
        <is>
          <t>UPI/619368966858/SHEIKH SHOHEB</t>
        </is>
      </c>
    </row>
    <row r="15">
      <c r="A15" s="9" t="inlineStr">
        <is>
          <t>2026-07-10</t>
        </is>
      </c>
      <c r="B15" s="9" t="inlineStr">
        <is>
          <t>RAJASHREE PAPERS</t>
        </is>
      </c>
      <c r="C15" s="10" t="n">
        <v>69090</v>
      </c>
      <c r="D15" s="9" t="inlineStr">
        <is>
          <t>UNPAID</t>
        </is>
      </c>
      <c r="E15" s="9" t="inlineStr">
        <is>
          <t>IMPS/619118477708/RAJSHREE PAPERS</t>
        </is>
      </c>
    </row>
    <row r="16">
      <c r="A16" s="9" t="inlineStr">
        <is>
          <t>2026-07-07</t>
        </is>
      </c>
      <c r="B16" s="9" t="inlineStr">
        <is>
          <t>GANDHI CARD</t>
        </is>
      </c>
      <c r="C16" s="10" t="n">
        <v>3500</v>
      </c>
      <c r="D16" s="9" t="inlineStr">
        <is>
          <t>UNPAID</t>
        </is>
      </c>
      <c r="E16" s="9" t="inlineStr">
        <is>
          <t>UPI/655517578332/GANDHI CARD</t>
        </is>
      </c>
    </row>
    <row r="17">
      <c r="A17" s="9" t="inlineStr">
        <is>
          <t>2026-07-07</t>
        </is>
      </c>
      <c r="B17" s="9" t="inlineStr">
        <is>
          <t>ABHAY BHAISE</t>
        </is>
      </c>
      <c r="C17" s="10" t="n">
        <v>4558</v>
      </c>
      <c r="D17" s="9" t="inlineStr">
        <is>
          <t>UNPAID</t>
        </is>
      </c>
      <c r="E17" s="9" t="inlineStr">
        <is>
          <t>UPI/655535550629/ABHAY KUSUMAKAR</t>
        </is>
      </c>
    </row>
    <row r="18">
      <c r="A18" s="9" t="inlineStr">
        <is>
          <t>2026-07-04</t>
        </is>
      </c>
      <c r="B18" s="9" t="inlineStr">
        <is>
          <t>RAJASHREE PAPERS</t>
        </is>
      </c>
      <c r="C18" s="10" t="n">
        <v>37651</v>
      </c>
      <c r="D18" s="9" t="inlineStr">
        <is>
          <t>UNPAID</t>
        </is>
      </c>
      <c r="E18" s="9" t="inlineStr">
        <is>
          <t>IMPS/618519433796/RAJSHREE PAPERS</t>
        </is>
      </c>
    </row>
    <row r="19">
      <c r="A19" s="9" t="inlineStr">
        <is>
          <t>2026-07-01</t>
        </is>
      </c>
      <c r="B19" s="9" t="inlineStr">
        <is>
          <t>GANDHI CARD</t>
        </is>
      </c>
      <c r="C19" s="10" t="n">
        <v>34800</v>
      </c>
      <c r="D19" s="9" t="inlineStr">
        <is>
          <t>UNPAID</t>
        </is>
      </c>
      <c r="E19" s="9" t="inlineStr">
        <is>
          <t>UPI/618257611004/EXTRA EFFECT</t>
        </is>
      </c>
    </row>
    <row r="20">
      <c r="A20" s="9" t="inlineStr">
        <is>
          <t>2026-07-01</t>
        </is>
      </c>
      <c r="B20" s="9" t="inlineStr">
        <is>
          <t>SN PRINTER</t>
        </is>
      </c>
      <c r="C20" s="10" t="n">
        <v>21880</v>
      </c>
      <c r="D20" s="9" t="inlineStr">
        <is>
          <t>UNPAID</t>
        </is>
      </c>
      <c r="E20" s="9" t="inlineStr">
        <is>
          <t>UPI/618209623757/SACHIN SHRIHARI</t>
        </is>
      </c>
    </row>
    <row r="22">
      <c r="B22" s="8" t="inlineStr">
        <is>
          <t>TOTAL</t>
        </is>
      </c>
      <c r="C22" s="21">
        <f>SUM(C2:C20)</f>
        <v>373270.0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2" customWidth="1" min="4" max="4"/>
    <col width="12" customWidth="1" min="5" max="5"/>
    <col width="42" customWidth="1" min="6" max="6"/>
  </cols>
  <sheetData>
    <row r="1">
      <c r="A1" s="3" t="inlineStr">
        <is>
          <t>Employee</t>
        </is>
      </c>
      <c r="B1" s="3" t="inlineStr">
        <is>
          <t>Designation</t>
        </is>
      </c>
      <c r="C1" s="3" t="inlineStr">
        <is>
          <t>Accrued</t>
        </is>
      </c>
      <c r="D1" s="3" t="inlineStr">
        <is>
          <t>Paid</t>
        </is>
      </c>
      <c r="E1" s="3" t="inlineStr">
        <is>
          <t>Balance</t>
        </is>
      </c>
      <c r="F1" s="3" t="inlineStr">
        <is>
          <t>Note</t>
        </is>
      </c>
    </row>
    <row r="2">
      <c r="A2" s="4" t="inlineStr">
        <is>
          <t>VAISHALI DHAKATE</t>
        </is>
      </c>
      <c r="B2" s="4" t="inlineStr">
        <is>
          <t>SALES MANAGER</t>
        </is>
      </c>
      <c r="C2" s="5" t="n">
        <v>0</v>
      </c>
      <c r="D2" s="5" t="n">
        <v>0</v>
      </c>
      <c r="E2" s="5" t="n">
        <v>0</v>
      </c>
      <c r="F2" s="4" t="inlineStr">
        <is>
          <t>No login account — can't be tagged</t>
        </is>
      </c>
    </row>
    <row r="3">
      <c r="A3" s="4" t="inlineStr">
        <is>
          <t>test</t>
        </is>
      </c>
      <c r="B3" s="4" t="inlineStr">
        <is>
          <t>SALES MANAGER</t>
        </is>
      </c>
      <c r="C3" s="5" t="n">
        <v>0</v>
      </c>
      <c r="D3" s="5" t="n">
        <v>0</v>
      </c>
      <c r="E3" s="5" t="n">
        <v>0</v>
      </c>
      <c r="F3" s="4" t="inlineStr">
        <is>
          <t>No login account — can't be tagged</t>
        </is>
      </c>
    </row>
    <row r="4">
      <c r="A4" s="4" t="inlineStr">
        <is>
          <t>abc</t>
        </is>
      </c>
      <c r="B4" s="4" t="inlineStr">
        <is>
          <t>SALES MANAGER</t>
        </is>
      </c>
      <c r="C4" s="5" t="n">
        <v>0</v>
      </c>
      <c r="D4" s="5" t="n">
        <v>0</v>
      </c>
      <c r="E4" s="5" t="n">
        <v>0</v>
      </c>
      <c r="F4" s="4" t="inlineStr">
        <is>
          <t>No login account — can't be tagged</t>
        </is>
      </c>
    </row>
    <row r="5">
      <c r="A5" s="4" t="inlineStr">
        <is>
          <t>Sanket (Owner)</t>
        </is>
      </c>
      <c r="B5" s="4" t="inlineStr">
        <is>
          <t>-</t>
        </is>
      </c>
      <c r="C5" s="5" t="n">
        <v>0</v>
      </c>
      <c r="D5" s="5" t="n">
        <v>0</v>
      </c>
      <c r="E5" s="5" t="n">
        <v>0</v>
      </c>
      <c r="F5" s="4" t="inlineStr">
        <is>
          <t>No fixed salary — bank-tagged only, none tagged for July 2026</t>
        </is>
      </c>
    </row>
    <row r="7">
      <c r="A7" s="8" t="inlineStr">
        <is>
          <t>TOTAL</t>
        </is>
      </c>
      <c r="C7" s="21">
        <f>SUM(C2:C5)</f>
        <v>0</v>
      </c>
      <c r="D7" s="21">
        <f>SUM(D2:D5)</f>
        <v>0</v>
      </c>
      <c r="E7" s="21">
        <f>SUM(E2:E5)</f>
        <v>0</v>
      </c>
    </row>
    <row r="9">
      <c r="A9" s="2" t="inlineStr">
        <is>
          <t>Note: these are per-employee salary accruals from the Expense Tracker's HR engine — separate from the many 'X SALARY' expense-category withdrawals on the Expense tab, which are ad-hoc bank withdrawals tagged to staff by name.</t>
        </is>
      </c>
    </row>
  </sheetData>
  <mergeCells count="1">
    <mergeCell ref="A9:F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Agent</t>
        </is>
      </c>
      <c r="B1" s="3" t="inlineStr">
        <is>
          <t>Accrued</t>
        </is>
      </c>
      <c r="C1" s="3" t="inlineStr">
        <is>
          <t>Paid</t>
        </is>
      </c>
      <c r="D1" s="3" t="inlineStr">
        <is>
          <t>Balance</t>
        </is>
      </c>
    </row>
    <row r="2">
      <c r="A2" s="4" t="inlineStr">
        <is>
          <t>DIVYA THERE</t>
        </is>
      </c>
      <c r="B2" s="5" t="n">
        <v>1000</v>
      </c>
      <c r="C2" s="5" t="n">
        <v>0</v>
      </c>
      <c r="D2" s="5">
        <f>B2-C2</f>
        <v>1000</v>
      </c>
    </row>
    <row r="3">
      <c r="A3" s="4" t="inlineStr">
        <is>
          <t>RITU GHOSH</t>
        </is>
      </c>
      <c r="B3" s="5" t="n">
        <v>1000</v>
      </c>
      <c r="C3" s="5" t="n">
        <v>0</v>
      </c>
      <c r="D3" s="5">
        <f>B3-C3</f>
        <v>1000</v>
      </c>
    </row>
    <row r="4">
      <c r="A4" s="4" t="inlineStr">
        <is>
          <t>VAISHALI DHAKATE</t>
        </is>
      </c>
      <c r="B4" s="5" t="n">
        <v>2000</v>
      </c>
      <c r="C4" s="5" t="n">
        <v>0</v>
      </c>
      <c r="D4" s="5">
        <f>B4-C4</f>
        <v>2000</v>
      </c>
    </row>
    <row r="5">
      <c r="A5" s="4" t="inlineStr">
        <is>
          <t>AAKANSHA TOTAWAR</t>
        </is>
      </c>
      <c r="B5" s="5" t="n">
        <v>1000</v>
      </c>
      <c r="C5" s="5" t="n">
        <v>0</v>
      </c>
      <c r="D5" s="5">
        <f>B5-C5</f>
        <v>1000</v>
      </c>
    </row>
    <row r="6">
      <c r="A6" s="4" t="inlineStr">
        <is>
          <t>Sanket Admin</t>
        </is>
      </c>
      <c r="B6" s="5" t="n">
        <v>0</v>
      </c>
      <c r="C6" s="5" t="n">
        <v>0</v>
      </c>
      <c r="D6" s="5">
        <f>B6-C6</f>
        <v>0</v>
      </c>
    </row>
    <row r="7">
      <c r="A7" s="4" t="inlineStr">
        <is>
          <t>SHRAWANI KSHIRSAGAR</t>
        </is>
      </c>
      <c r="B7" s="5" t="n">
        <v>0</v>
      </c>
      <c r="C7" s="5" t="n">
        <v>0</v>
      </c>
      <c r="D7" s="5">
        <f>B7-C7</f>
        <v>0</v>
      </c>
    </row>
    <row r="8">
      <c r="A8" s="4" t="inlineStr">
        <is>
          <t>PRIYA KOMMU</t>
        </is>
      </c>
      <c r="B8" s="5" t="n">
        <v>0</v>
      </c>
      <c r="C8" s="5" t="n">
        <v>0</v>
      </c>
      <c r="D8" s="5">
        <f>B8-C8</f>
        <v>0</v>
      </c>
    </row>
    <row r="9">
      <c r="A9" s="4" t="inlineStr">
        <is>
          <t>SONALI HADASE</t>
        </is>
      </c>
      <c r="B9" s="5" t="n">
        <v>0</v>
      </c>
      <c r="C9" s="5" t="n">
        <v>0</v>
      </c>
      <c r="D9" s="5">
        <f>B9-C9</f>
        <v>0</v>
      </c>
    </row>
    <row r="10">
      <c r="A10" s="4" t="inlineStr">
        <is>
          <t>GULFAM SHEIKH</t>
        </is>
      </c>
      <c r="B10" s="5" t="n">
        <v>0</v>
      </c>
      <c r="C10" s="5" t="n">
        <v>0</v>
      </c>
      <c r="D10" s="5">
        <f>B10-C10</f>
        <v>0</v>
      </c>
    </row>
    <row r="11">
      <c r="A11" s="4" t="inlineStr">
        <is>
          <t>FIZA SHEIKH</t>
        </is>
      </c>
      <c r="B11" s="5" t="n">
        <v>0</v>
      </c>
      <c r="C11" s="5" t="n">
        <v>0</v>
      </c>
      <c r="D11" s="5">
        <f>B11-C11</f>
        <v>0</v>
      </c>
    </row>
    <row r="12">
      <c r="A12" s="4" t="inlineStr">
        <is>
          <t>PRAJAKTA DALAL</t>
        </is>
      </c>
      <c r="B12" s="5" t="n">
        <v>0</v>
      </c>
      <c r="C12" s="5" t="n">
        <v>0</v>
      </c>
      <c r="D12" s="5">
        <f>B12-C12</f>
        <v>0</v>
      </c>
    </row>
    <row r="13">
      <c r="A13" s="4" t="inlineStr">
        <is>
          <t>SAMITA NAGWANSHI</t>
        </is>
      </c>
      <c r="B13" s="5" t="n">
        <v>0</v>
      </c>
      <c r="C13" s="5" t="n">
        <v>0</v>
      </c>
      <c r="D13" s="5">
        <f>B13-C13</f>
        <v>0</v>
      </c>
    </row>
    <row r="14">
      <c r="A14" s="4" t="inlineStr">
        <is>
          <t>NIKITA PAUL</t>
        </is>
      </c>
      <c r="B14" s="5" t="n">
        <v>0</v>
      </c>
      <c r="C14" s="5" t="n">
        <v>0</v>
      </c>
      <c r="D14" s="5">
        <f>B14-C14</f>
        <v>0</v>
      </c>
    </row>
    <row r="16">
      <c r="A16" s="8" t="inlineStr">
        <is>
          <t>TOTAL</t>
        </is>
      </c>
      <c r="B16" s="21">
        <f>SUM(B2:B14)</f>
        <v>5000</v>
      </c>
      <c r="C16" s="21">
        <f>SUM(C2:C14)</f>
        <v>0</v>
      </c>
      <c r="D16" s="21">
        <f>SUM(D2:D14)</f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2026-07-26T18:04:15Z</dcterms:created>
  <dcterms:modified xmlns:dcterms="http://purl.org/dc/terms/" xmlns:xsi="http://www.w3.org/2001/XMLSchema-instance" xsi:type="dcterms:W3CDTF">2026-07-26T18:04:16Z</dcterms:modified>
</cp:coreProperties>
</file>