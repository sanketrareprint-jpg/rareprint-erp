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3"/>
    <sheet name="COST TABLE" sheetId="2" state="visible" r:id="rId4"/>
    <sheet name="ORDER ENTRY" sheetId="3" state="visible" r:id="rId5"/>
    <sheet name="AGENT SUMMARY" sheetId="4" state="visible" r:id="rId6"/>
    <sheet name="📥 CSV IMPORT GUID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<sst xmlns="http://schemas.openxmlformats.org/spreadsheetml/2006/main" count="162" uniqueCount="158">
  <si>
    <t xml:space="preserve">⚙  SYSTEM SETTINGS – Cost, Margin &amp; Commission Configuration</t>
  </si>
  <si>
    <t xml:space="preserve">Change the values in the BLUE cells to configure the system</t>
  </si>
  <si>
    <t xml:space="preserve">PARAMETER</t>
  </si>
  <si>
    <t xml:space="preserve">VALUE</t>
  </si>
  <si>
    <t xml:space="preserve">UNIT</t>
  </si>
  <si>
    <t xml:space="preserve">NOTES</t>
  </si>
  <si>
    <t xml:space="preserve">Minimum Approval Margin %</t>
  </si>
  <si>
    <t xml:space="preserve">%</t>
  </si>
  <si>
    <t xml:space="preserve">Orders BELOW this margin % will be marked DISAPPROVED</t>
  </si>
  <si>
    <t xml:space="preserve">Warning Margin % (amber zone)</t>
  </si>
  <si>
    <t xml:space="preserve">Orders between Warning % and Approval % get an AMBER WARNING</t>
  </si>
  <si>
    <t xml:space="preserve">Sales Agent Commission %</t>
  </si>
  <si>
    <t xml:space="preserve">% of Margin ₹</t>
  </si>
  <si>
    <t xml:space="preserve">Agent earns this % of the margin amount on approved orders</t>
  </si>
  <si>
    <t xml:space="preserve">Default Currency Symbol</t>
  </si>
  <si>
    <t xml:space="preserve">₹</t>
  </si>
  <si>
    <t xml:space="preserve">Used in order sheet for display</t>
  </si>
  <si>
    <t xml:space="preserve">GST / Tax Rate %</t>
  </si>
  <si>
    <t xml:space="preserve">Applied on top of sale price if needed</t>
  </si>
  <si>
    <t xml:space="preserve">COLOUR LEGEND</t>
  </si>
  <si>
    <t xml:space="preserve">Yellow cells = Input values you can change</t>
  </si>
  <si>
    <t xml:space="preserve">Green background = APPROVED order</t>
  </si>
  <si>
    <t xml:space="preserve">Amber background = WARNING – margin is low</t>
  </si>
  <si>
    <t xml:space="preserve">Red background = DISAPPROVED – below minimum margin</t>
  </si>
  <si>
    <t xml:space="preserve">Blue text = User-entered input</t>
  </si>
  <si>
    <t xml:space="preserve">Black text = Formula (do not edit)</t>
  </si>
  <si>
    <t xml:space="preserve">COST TABLE – Cost per Unit (₹) by Product &amp; Quantity</t>
  </si>
  <si>
    <t xml:space="preserve">📥  IMPORT ZONE: Paste your CSV data below (starting row 4) – Product Code in column A, costs in quantity columns. Column B is Product Description (optional).</t>
  </si>
  <si>
    <t xml:space="preserve">PRODUCT CODE</t>
  </si>
  <si>
    <t xml:space="preserve">DESCRIPTION</t>
  </si>
  <si>
    <t xml:space="preserve">STRM</t>
  </si>
  <si>
    <t xml:space="preserve">ST175</t>
  </si>
  <si>
    <t xml:space="preserve">ST1575</t>
  </si>
  <si>
    <t xml:space="preserve">ST151</t>
  </si>
  <si>
    <t xml:space="preserve">ST125175</t>
  </si>
  <si>
    <t xml:space="preserve">ST3.2*1.6</t>
  </si>
  <si>
    <t xml:space="preserve">ST5*8</t>
  </si>
  <si>
    <t xml:space="preserve">ST1*3</t>
  </si>
  <si>
    <t xml:space="preserve">ST1*4</t>
  </si>
  <si>
    <t xml:space="preserve">ST1*2.5</t>
  </si>
  <si>
    <t xml:space="preserve">ST6*4</t>
  </si>
  <si>
    <t xml:space="preserve">ST4*2</t>
  </si>
  <si>
    <t xml:space="preserve">ST2.8*1.6</t>
  </si>
  <si>
    <t xml:space="preserve">ST2.8*1.2</t>
  </si>
  <si>
    <t xml:space="preserve">ST2*0.75</t>
  </si>
  <si>
    <t xml:space="preserve">ST8.5*11</t>
  </si>
  <si>
    <t xml:space="preserve">ST1823</t>
  </si>
  <si>
    <t xml:space="preserve">END47</t>
  </si>
  <si>
    <t xml:space="preserve">EN702.5X4</t>
  </si>
  <si>
    <t xml:space="preserve">EN7045</t>
  </si>
  <si>
    <t xml:space="preserve">EN7047</t>
  </si>
  <si>
    <t xml:space="preserve">EN7058</t>
  </si>
  <si>
    <t xml:space="preserve">EN70811</t>
  </si>
  <si>
    <t xml:space="preserve">EN7049</t>
  </si>
  <si>
    <t xml:space="preserve">EN6045</t>
  </si>
  <si>
    <t xml:space="preserve">EN6047</t>
  </si>
  <si>
    <t xml:space="preserve">EN6058</t>
  </si>
  <si>
    <t xml:space="preserve">EN60811</t>
  </si>
  <si>
    <t xml:space="preserve">EN6049</t>
  </si>
  <si>
    <t xml:space="preserve">ENR7058</t>
  </si>
  <si>
    <t xml:space="preserve">EN8045</t>
  </si>
  <si>
    <t xml:space="preserve">EN8049</t>
  </si>
  <si>
    <t xml:space="preserve">EN10045</t>
  </si>
  <si>
    <t xml:space="preserve">ORDER ENTRY – Cost Lookup, Margin Check &amp; Agent Commission</t>
  </si>
  <si>
    <t xml:space="preserve">Settings pulled from SETTINGS sheet  |  Min Margin: =SETTINGS!B5%   Warning: =SETTINGS!B6%   Commission: =SETTINGS!B7%   ← change in SETTINGS tab</t>
  </si>
  <si>
    <t xml:space="preserve">Min Approval Margin %</t>
  </si>
  <si>
    <t xml:space="preserve">Warning Margin %</t>
  </si>
  <si>
    <t xml:space="preserve">Agent Commission %</t>
  </si>
  <si>
    <t xml:space="preserve">ORDER #</t>
  </si>
  <si>
    <t xml:space="preserve">DATE</t>
  </si>
  <si>
    <t xml:space="preserve">CUSTOMER</t>
  </si>
  <si>
    <t xml:space="preserve">AGENT NAME</t>
  </si>
  <si>
    <t xml:space="preserve">ORDER QTY</t>
  </si>
  <si>
    <t xml:space="preserve">SALE PRICE/UNIT (₹)</t>
  </si>
  <si>
    <t xml:space="preserve">COST/UNIT (₹)</t>
  </si>
  <si>
    <t xml:space="preserve">MARGIN ₹/UNIT</t>
  </si>
  <si>
    <t xml:space="preserve">MARGIN %</t>
  </si>
  <si>
    <t xml:space="preserve">STATUS</t>
  </si>
  <si>
    <t xml:space="preserve">AGENT COMMISSION (₹)</t>
  </si>
  <si>
    <t xml:space="preserve">ORD-0001</t>
  </si>
  <si>
    <t xml:space="preserve">ORD-0002</t>
  </si>
  <si>
    <t xml:space="preserve">ORD-0003</t>
  </si>
  <si>
    <t xml:space="preserve">ORD-0004</t>
  </si>
  <si>
    <t xml:space="preserve">ORD-0005</t>
  </si>
  <si>
    <t xml:space="preserve">ORD-0006</t>
  </si>
  <si>
    <t xml:space="preserve">ORD-0007</t>
  </si>
  <si>
    <t xml:space="preserve">ORD-0008</t>
  </si>
  <si>
    <t xml:space="preserve">ORD-0009</t>
  </si>
  <si>
    <t xml:space="preserve">ORD-0010</t>
  </si>
  <si>
    <t xml:space="preserve">ORD-0011</t>
  </si>
  <si>
    <t xml:space="preserve">ORD-0012</t>
  </si>
  <si>
    <t xml:space="preserve">ORD-0013</t>
  </si>
  <si>
    <t xml:space="preserve">ORD-0014</t>
  </si>
  <si>
    <t xml:space="preserve">ORD-0015</t>
  </si>
  <si>
    <t xml:space="preserve">ORD-0016</t>
  </si>
  <si>
    <t xml:space="preserve">ORD-0017</t>
  </si>
  <si>
    <t xml:space="preserve">ORD-0018</t>
  </si>
  <si>
    <t xml:space="preserve">ORD-0019</t>
  </si>
  <si>
    <t xml:space="preserve">ORD-0020</t>
  </si>
  <si>
    <t xml:space="preserve">ORD-0021</t>
  </si>
  <si>
    <t xml:space="preserve">ORD-0022</t>
  </si>
  <si>
    <t xml:space="preserve">ORD-0023</t>
  </si>
  <si>
    <t xml:space="preserve">ORD-0024</t>
  </si>
  <si>
    <t xml:space="preserve">ORD-0025</t>
  </si>
  <si>
    <t xml:space="preserve">ORD-0026</t>
  </si>
  <si>
    <t xml:space="preserve">ORD-0027</t>
  </si>
  <si>
    <t xml:space="preserve">ORD-0028</t>
  </si>
  <si>
    <t xml:space="preserve">ORD-0029</t>
  </si>
  <si>
    <t xml:space="preserve">ORD-0030</t>
  </si>
  <si>
    <t xml:space="preserve">ORD-0031</t>
  </si>
  <si>
    <t xml:space="preserve">ORD-0032</t>
  </si>
  <si>
    <t xml:space="preserve">ORD-0033</t>
  </si>
  <si>
    <t xml:space="preserve">ORD-0034</t>
  </si>
  <si>
    <t xml:space="preserve">ORD-0035</t>
  </si>
  <si>
    <t xml:space="preserve">ORD-0036</t>
  </si>
  <si>
    <t xml:space="preserve">ORD-0037</t>
  </si>
  <si>
    <t xml:space="preserve">ORD-0038</t>
  </si>
  <si>
    <t xml:space="preserve">ORD-0039</t>
  </si>
  <si>
    <t xml:space="preserve">ORD-0040</t>
  </si>
  <si>
    <t xml:space="preserve">ORD-0041</t>
  </si>
  <si>
    <t xml:space="preserve">ORD-0042</t>
  </si>
  <si>
    <t xml:space="preserve">ORD-0043</t>
  </si>
  <si>
    <t xml:space="preserve">ORD-0044</t>
  </si>
  <si>
    <t xml:space="preserve">ORD-0045</t>
  </si>
  <si>
    <t xml:space="preserve">ORD-0046</t>
  </si>
  <si>
    <t xml:space="preserve">ORD-0047</t>
  </si>
  <si>
    <t xml:space="preserve">ORD-0048</t>
  </si>
  <si>
    <t xml:space="preserve">ORD-0049</t>
  </si>
  <si>
    <t xml:space="preserve">ORD-0050</t>
  </si>
  <si>
    <t xml:space="preserve">SALES AGENT COMMISSION SUMMARY</t>
  </si>
  <si>
    <t xml:space="preserve">Auto-summarises commissions from ORDER ENTRY sheet. Commissions only counted for ✅ APPROVED orders.</t>
  </si>
  <si>
    <t xml:space="preserve">TOTAL ORDERS</t>
  </si>
  <si>
    <t xml:space="preserve">APPROVED ORDERS</t>
  </si>
  <si>
    <t xml:space="preserve">TOTAL SALE VALUE (₹)</t>
  </si>
  <si>
    <t xml:space="preserve">TOTAL MARGIN (₹)</t>
  </si>
  <si>
    <t xml:space="preserve">TOTAL COMMISSION (₹)</t>
  </si>
  <si>
    <t xml:space="preserve">TOTAL</t>
  </si>
  <si>
    <t xml:space="preserve">HOW TO IMPORT YOUR COST CSV</t>
  </si>
  <si>
    <t xml:space="preserve">STEP 1</t>
  </si>
  <si>
    <t xml:space="preserve">Open your CSV file in Excel or Notepad to check the column order.</t>
  </si>
  <si>
    <t xml:space="preserve">STEP 2</t>
  </si>
  <si>
    <t xml:space="preserve">Make sure your CSV has: Column 1 = Product Code, Column 2 (optional) = Description, then one column per quantity tier (700, 1000, 1500, 2000, 3000, 3500, 4000, 5000, 6000, 8000, 9500, 10000, 12000, 15000, 20000, 30000, 40000, 50000).</t>
  </si>
  <si>
    <t xml:space="preserve">STEP 3</t>
  </si>
  <si>
    <t xml:space="preserve">Go to the COST TABLE tab in this file.</t>
  </si>
  <si>
    <t xml:space="preserve">STEP 4</t>
  </si>
  <si>
    <t xml:space="preserve">Click cell A4 (first data row, Product Code column).</t>
  </si>
  <si>
    <t xml:space="preserve">STEP 5</t>
  </si>
  <si>
    <t xml:space="preserve">Open your CSV, select all data (Ctrl+A), Copy (Ctrl+C).</t>
  </si>
  <si>
    <t xml:space="preserve">STEP 6</t>
  </si>
  <si>
    <t xml:space="preserve">Come back to COST TABLE, click A4, and Paste Special → Values Only (Ctrl+Shift+V or right-click → Paste Special → Values).</t>
  </si>
  <si>
    <t xml:space="preserve">STEP 7</t>
  </si>
  <si>
    <t xml:space="preserve">If your quantity tier columns don't match exactly, manually adjust the column headers in row 3 of COST TABLE.</t>
  </si>
  <si>
    <t xml:space="preserve">STEP 8</t>
  </si>
  <si>
    <t xml:space="preserve">Go to ORDER ENTRY and test: enter a Product Code in col E and a Quantity in col F — the Cost/Unit should auto-populate from the table.</t>
  </si>
  <si>
    <t xml:space="preserve">STEP 9</t>
  </si>
  <si>
    <t xml:space="preserve">Enter a Sale Price in col G to see Margin %, Status, and Commission.</t>
  </si>
  <si>
    <t xml:space="preserve">STEP 10</t>
  </si>
  <si>
    <t xml:space="preserve">Adjust Min Margin % and Commission % anytime in the SETTINGS tab.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</si>
</sst>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dd\-mmm\-yyyy"/>
    <numFmt numFmtId="167" formatCode="#,##0"/>
    <numFmt numFmtId="168" formatCode="\₹#,##0.00"/>
    <numFmt numFmtId="169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2E509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9C5700"/>
      <name val="Arial"/>
      <family val="0"/>
      <charset val="1"/>
    </font>
    <font>
      <sz val="9"/>
      <color rgb="FF9C0006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2E509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B05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E5090"/>
      </patternFill>
    </fill>
    <fill>
      <patternFill patternType="solid">
        <fgColor rgb="FFDEEAF1"/>
        <bgColor rgb="FFEBF5EB"/>
      </patternFill>
    </fill>
    <fill>
      <patternFill patternType="solid">
        <fgColor rgb="FF2E5090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EEAF1"/>
      </patternFill>
    </fill>
    <fill>
      <patternFill patternType="solid">
        <fgColor rgb="FFFFEB9C"/>
        <bgColor rgb="FFFFF4CE"/>
      </patternFill>
    </fill>
    <fill>
      <patternFill patternType="solid">
        <fgColor rgb="FFFFC7CE"/>
        <bgColor rgb="FFFFE0E0"/>
      </patternFill>
    </fill>
    <fill>
      <patternFill patternType="solid">
        <fgColor rgb="FFFFFFFF"/>
        <bgColor rgb="FFEBF5EB"/>
      </patternFill>
    </fill>
    <fill>
      <patternFill patternType="solid">
        <fgColor rgb="FFBDD7EE"/>
        <bgColor rgb="FFC6EFC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color rgb="FF375623"/>
      </font>
      <fill>
        <patternFill>
          <bgColor rgb="FFC6EF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  <dxf>
      <fill>
        <patternFill>
          <bgColor rgb="FFEBF5EB"/>
        </patternFill>
      </fill>
    </dxf>
    <dxf>
      <fill>
        <patternFill>
          <bgColor rgb="FFFFF4CE"/>
        </patternFill>
      </fill>
    </dxf>
    <dxf>
      <fill>
        <patternFill>
          <bgColor rgb="FFFFE0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E0E0"/>
      <rgbColor rgb="FF808080"/>
      <rgbColor rgb="FF9999FF"/>
      <rgbColor rgb="FF993366"/>
      <rgbColor rgb="FFFFF4CE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EB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4B942"/>
      <rgbColor rgb="FFFF9900"/>
      <rgbColor rgb="FFFF6600"/>
      <rgbColor rgb="FF666699"/>
      <rgbColor rgb="FF969696"/>
      <rgbColor rgb="FF1F3864"/>
      <rgbColor rgb="FF00B050"/>
      <rgbColor rgb="FF003300"/>
      <rgbColor rgb="FF333300"/>
      <rgbColor rgb="FF9C5700"/>
      <rgbColor rgb="FF993366"/>
      <rgbColor rgb="FF2E5090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6"/>
    <col collapsed="false" customWidth="true" hidden="false" outlineLevel="0" max="4" min="4" style="1" width="55"/>
  </cols>
  <sheetData>
    <row r="1" customFormat="false" ht="36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21.75" hidden="false" customHeight="true" outlineLevel="0" collapsed="false">
      <c r="A5" s="5" t="s">
        <v>6</v>
      </c>
      <c r="B5" s="6" t="n">
        <v>15</v>
      </c>
      <c r="C5" s="7" t="s">
        <v>7</v>
      </c>
      <c r="D5" s="8" t="s">
        <v>8</v>
      </c>
    </row>
    <row r="6" customFormat="false" ht="21.75" hidden="false" customHeight="true" outlineLevel="0" collapsed="false">
      <c r="A6" s="5" t="s">
        <v>9</v>
      </c>
      <c r="B6" s="6" t="n">
        <v>20</v>
      </c>
      <c r="C6" s="7" t="s">
        <v>7</v>
      </c>
      <c r="D6" s="8" t="s">
        <v>10</v>
      </c>
    </row>
    <row r="7" customFormat="false" ht="21.75" hidden="false" customHeight="true" outlineLevel="0" collapsed="false">
      <c r="A7" s="5" t="s">
        <v>11</v>
      </c>
      <c r="B7" s="6" t="n">
        <v>10</v>
      </c>
      <c r="C7" s="7" t="s">
        <v>12</v>
      </c>
      <c r="D7" s="8" t="s">
        <v>13</v>
      </c>
    </row>
    <row r="8" customFormat="false" ht="21.75" hidden="false" customHeight="true" outlineLevel="0" collapsed="false">
      <c r="A8" s="5" t="s">
        <v>14</v>
      </c>
      <c r="B8" s="6" t="s">
        <v>15</v>
      </c>
      <c r="C8" s="7"/>
      <c r="D8" s="8" t="s">
        <v>16</v>
      </c>
    </row>
    <row r="9" customFormat="false" ht="21.75" hidden="false" customHeight="true" outlineLevel="0" collapsed="false">
      <c r="A9" s="5" t="s">
        <v>17</v>
      </c>
      <c r="B9" s="6" t="n">
        <v>18</v>
      </c>
      <c r="C9" s="7" t="s">
        <v>7</v>
      </c>
      <c r="D9" s="8" t="s">
        <v>18</v>
      </c>
    </row>
    <row r="12" customFormat="false" ht="15" hidden="false" customHeight="true" outlineLevel="0" collapsed="false">
      <c r="A12" s="4" t="s">
        <v>19</v>
      </c>
      <c r="B12" s="9"/>
      <c r="C12" s="9"/>
      <c r="D12" s="9"/>
    </row>
    <row r="13" customFormat="false" ht="18" hidden="false" customHeight="true" outlineLevel="0" collapsed="false">
      <c r="A13" s="10" t="s">
        <v>20</v>
      </c>
      <c r="B13" s="10"/>
      <c r="C13" s="10"/>
      <c r="D13" s="10"/>
    </row>
    <row r="14" customFormat="false" ht="18" hidden="false" customHeight="true" outlineLevel="0" collapsed="false">
      <c r="A14" s="11" t="s">
        <v>21</v>
      </c>
      <c r="B14" s="11"/>
      <c r="C14" s="11"/>
      <c r="D14" s="11"/>
    </row>
    <row r="15" customFormat="false" ht="18" hidden="false" customHeight="true" outlineLevel="0" collapsed="false">
      <c r="A15" s="12" t="s">
        <v>22</v>
      </c>
      <c r="B15" s="12"/>
      <c r="C15" s="12"/>
      <c r="D15" s="12"/>
    </row>
    <row r="16" customFormat="false" ht="18" hidden="false" customHeight="true" outlineLevel="0" collapsed="false">
      <c r="A16" s="13" t="s">
        <v>23</v>
      </c>
      <c r="B16" s="13"/>
      <c r="C16" s="13"/>
      <c r="D16" s="13"/>
    </row>
    <row r="17" customFormat="false" ht="18" hidden="false" customHeight="true" outlineLevel="0" collapsed="false">
      <c r="A17" s="14" t="s">
        <v>24</v>
      </c>
      <c r="B17" s="14"/>
      <c r="C17" s="14"/>
      <c r="D17" s="14"/>
    </row>
    <row r="18" customFormat="false" ht="18" hidden="false" customHeight="true" outlineLevel="0" collapsed="false">
      <c r="A18" s="15" t="s">
        <v>25</v>
      </c>
      <c r="B18" s="15"/>
      <c r="C18" s="15"/>
      <c r="D18" s="15"/>
    </row>
  </sheetData>
  <mergeCells count="9">
    <mergeCell ref="A1:D1"/>
    <mergeCell ref="A2:D2"/>
    <mergeCell ref="B12:D12"/>
    <mergeCell ref="A13:D13"/>
    <mergeCell ref="A14:D14"/>
    <mergeCell ref="A15:D15"/>
    <mergeCell ref="A16:D16"/>
    <mergeCell ref="A17:D1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T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20" min="3" style="1" width="9"/>
  </cols>
  <sheetData>
    <row r="1" customFormat="false" ht="31.5" hidden="false" customHeight="true" outlineLevel="0" collapsed="false">
      <c r="A1" s="16" t="s">
        <v>26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customFormat="false" ht="21.75" hidden="false" customHeight="true" outlineLevel="0" collapsed="false">
      <c r="A2" s="17" t="s">
        <v>27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customFormat="false" ht="24" hidden="false" customHeight="true" outlineLevel="0" collapsed="false">
      <c r="A3" s="18" t="s">
        <v>28</v>
      </c>
      <c r="B3" s="18" t="s">
        <v>29</v>
      </c>
      <c r="C3" s="19" t="n">
        <v>700</v>
      </c>
      <c r="D3" s="19" t="n">
        <v>1000</v>
      </c>
      <c r="E3" s="19" t="n">
        <v>1500</v>
      </c>
      <c r="F3" s="19" t="n">
        <v>2000</v>
      </c>
      <c r="G3" s="19" t="n">
        <v>3000</v>
      </c>
      <c r="H3" s="19" t="n">
        <v>3500</v>
      </c>
      <c r="I3" s="19" t="n">
        <v>4000</v>
      </c>
      <c r="J3" s="19" t="n">
        <v>5000</v>
      </c>
      <c r="K3" s="19" t="n">
        <v>6000</v>
      </c>
      <c r="L3" s="19" t="n">
        <v>8000</v>
      </c>
      <c r="M3" s="19" t="n">
        <v>9500</v>
      </c>
      <c r="N3" s="19" t="n">
        <v>10000</v>
      </c>
      <c r="O3" s="19" t="n">
        <v>12000</v>
      </c>
      <c r="P3" s="19" t="n">
        <v>15000</v>
      </c>
      <c r="Q3" s="19" t="n">
        <v>20000</v>
      </c>
      <c r="R3" s="19" t="n">
        <v>30000</v>
      </c>
      <c r="S3" s="19" t="n">
        <v>40000</v>
      </c>
      <c r="T3" s="19" t="n">
        <v>50000</v>
      </c>
    </row>
    <row r="4" customFormat="false" ht="18" hidden="false" customHeight="true" outlineLevel="0" collapsed="false">
      <c r="A4" s="20" t="s">
        <v>30</v>
      </c>
      <c r="B4" s="5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</row>
    <row r="5" customFormat="false" ht="18" hidden="false" customHeight="true" outlineLevel="0" collapsed="false">
      <c r="A5" s="22" t="s">
        <v>31</v>
      </c>
      <c r="B5" s="23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</row>
    <row r="6" customFormat="false" ht="18" hidden="false" customHeight="true" outlineLevel="0" collapsed="false">
      <c r="A6" s="20" t="s">
        <v>32</v>
      </c>
      <c r="B6" s="5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</row>
    <row r="7" customFormat="false" ht="18" hidden="false" customHeight="true" outlineLevel="0" collapsed="false">
      <c r="A7" s="22" t="s">
        <v>33</v>
      </c>
      <c r="B7" s="23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</row>
    <row r="8" customFormat="false" ht="18" hidden="false" customHeight="true" outlineLevel="0" collapsed="false">
      <c r="A8" s="20" t="s">
        <v>34</v>
      </c>
      <c r="B8" s="5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</row>
    <row r="9" customFormat="false" ht="18" hidden="false" customHeight="true" outlineLevel="0" collapsed="false">
      <c r="A9" s="22" t="s">
        <v>35</v>
      </c>
      <c r="B9" s="23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</row>
    <row r="10" customFormat="false" ht="18" hidden="false" customHeight="true" outlineLevel="0" collapsed="false">
      <c r="A10" s="20" t="s">
        <v>36</v>
      </c>
      <c r="B10" s="5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</row>
    <row r="11" customFormat="false" ht="18" hidden="false" customHeight="true" outlineLevel="0" collapsed="false">
      <c r="A11" s="22" t="s">
        <v>37</v>
      </c>
      <c r="B11" s="23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</row>
    <row r="12" customFormat="false" ht="18" hidden="false" customHeight="true" outlineLevel="0" collapsed="false">
      <c r="A12" s="20" t="s">
        <v>38</v>
      </c>
      <c r="B12" s="5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 customFormat="false" ht="18" hidden="false" customHeight="true" outlineLevel="0" collapsed="false">
      <c r="A13" s="22" t="s">
        <v>39</v>
      </c>
      <c r="B13" s="23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 customFormat="false" ht="18" hidden="false" customHeight="true" outlineLevel="0" collapsed="false">
      <c r="A14" s="20" t="s">
        <v>40</v>
      </c>
      <c r="B14" s="5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</row>
    <row r="15" customFormat="false" ht="18" hidden="false" customHeight="true" outlineLevel="0" collapsed="false">
      <c r="A15" s="22" t="s">
        <v>41</v>
      </c>
      <c r="B15" s="23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</row>
    <row r="16" customFormat="false" ht="18" hidden="false" customHeight="true" outlineLevel="0" collapsed="false">
      <c r="A16" s="20" t="s">
        <v>42</v>
      </c>
      <c r="B16" s="5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</row>
    <row r="17" customFormat="false" ht="18" hidden="false" customHeight="true" outlineLevel="0" collapsed="false">
      <c r="A17" s="22" t="s">
        <v>43</v>
      </c>
      <c r="B17" s="23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</row>
    <row r="18" customFormat="false" ht="18" hidden="false" customHeight="true" outlineLevel="0" collapsed="false">
      <c r="A18" s="20" t="s">
        <v>44</v>
      </c>
      <c r="B18" s="5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</row>
    <row r="19" customFormat="false" ht="18" hidden="false" customHeight="true" outlineLevel="0" collapsed="false">
      <c r="A19" s="22" t="s">
        <v>45</v>
      </c>
      <c r="B19" s="23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</row>
    <row r="20" customFormat="false" ht="18" hidden="false" customHeight="true" outlineLevel="0" collapsed="false">
      <c r="A20" s="20" t="s">
        <v>46</v>
      </c>
      <c r="B20" s="5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</row>
    <row r="21" customFormat="false" ht="18" hidden="false" customHeight="true" outlineLevel="0" collapsed="false">
      <c r="A21" s="22" t="s">
        <v>47</v>
      </c>
      <c r="B21" s="23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</row>
    <row r="22" customFormat="false" ht="18" hidden="false" customHeight="true" outlineLevel="0" collapsed="false">
      <c r="A22" s="20" t="s">
        <v>48</v>
      </c>
      <c r="B22" s="5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</row>
    <row r="23" customFormat="false" ht="18" hidden="false" customHeight="true" outlineLevel="0" collapsed="false">
      <c r="A23" s="22" t="s">
        <v>49</v>
      </c>
      <c r="B23" s="23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customFormat="false" ht="18" hidden="false" customHeight="true" outlineLevel="0" collapsed="false">
      <c r="A24" s="20" t="s">
        <v>50</v>
      </c>
      <c r="B24" s="5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</row>
    <row r="25" customFormat="false" ht="18" hidden="false" customHeight="true" outlineLevel="0" collapsed="false">
      <c r="A25" s="22" t="s">
        <v>51</v>
      </c>
      <c r="B25" s="23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</row>
    <row r="26" customFormat="false" ht="18" hidden="false" customHeight="true" outlineLevel="0" collapsed="false">
      <c r="A26" s="20" t="s">
        <v>52</v>
      </c>
      <c r="B26" s="5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</row>
    <row r="27" customFormat="false" ht="18" hidden="false" customHeight="true" outlineLevel="0" collapsed="false">
      <c r="A27" s="22" t="s">
        <v>53</v>
      </c>
      <c r="B27" s="23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</row>
    <row r="28" customFormat="false" ht="18" hidden="false" customHeight="true" outlineLevel="0" collapsed="false">
      <c r="A28" s="20" t="s">
        <v>54</v>
      </c>
      <c r="B28" s="5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</row>
    <row r="29" customFormat="false" ht="18" hidden="false" customHeight="true" outlineLevel="0" collapsed="false">
      <c r="A29" s="22" t="s">
        <v>55</v>
      </c>
      <c r="B29" s="23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</row>
    <row r="30" customFormat="false" ht="18" hidden="false" customHeight="true" outlineLevel="0" collapsed="false">
      <c r="A30" s="20" t="s">
        <v>56</v>
      </c>
      <c r="B30" s="5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</row>
    <row r="31" customFormat="false" ht="18" hidden="false" customHeight="true" outlineLevel="0" collapsed="false">
      <c r="A31" s="22" t="s">
        <v>57</v>
      </c>
      <c r="B31" s="23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</row>
    <row r="32" customFormat="false" ht="18" hidden="false" customHeight="true" outlineLevel="0" collapsed="false">
      <c r="A32" s="20" t="s">
        <v>58</v>
      </c>
      <c r="B32" s="5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</row>
    <row r="33" customFormat="false" ht="18" hidden="false" customHeight="true" outlineLevel="0" collapsed="false">
      <c r="A33" s="22" t="s">
        <v>59</v>
      </c>
      <c r="B33" s="23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</row>
    <row r="34" customFormat="false" ht="18" hidden="false" customHeight="true" outlineLevel="0" collapsed="false">
      <c r="A34" s="20" t="s">
        <v>60</v>
      </c>
      <c r="B34" s="5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</row>
    <row r="35" customFormat="false" ht="18" hidden="false" customHeight="true" outlineLevel="0" collapsed="false">
      <c r="A35" s="22" t="s">
        <v>61</v>
      </c>
      <c r="B35" s="23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</row>
    <row r="36" customFormat="false" ht="18" hidden="false" customHeight="true" outlineLevel="0" collapsed="false">
      <c r="A36" s="20" t="s">
        <v>62</v>
      </c>
      <c r="B36" s="5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</row>
    <row r="37" customFormat="false" ht="18" hidden="false" customHeight="true" outlineLevel="0" collapsed="false">
      <c r="A37" s="24"/>
      <c r="B37" s="24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</row>
    <row r="38" customFormat="false" ht="18" hidden="false" customHeight="true" outlineLevel="0" collapsed="false">
      <c r="A38" s="25"/>
      <c r="B38" s="25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</row>
    <row r="39" customFormat="false" ht="18" hidden="false" customHeight="true" outlineLevel="0" collapsed="false">
      <c r="A39" s="24"/>
      <c r="B39" s="24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</row>
    <row r="40" customFormat="false" ht="18" hidden="false" customHeight="true" outlineLevel="0" collapsed="false">
      <c r="A40" s="25"/>
      <c r="B40" s="25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</row>
    <row r="41" customFormat="false" ht="18" hidden="false" customHeight="true" outlineLevel="0" collapsed="false">
      <c r="A41" s="24"/>
      <c r="B41" s="24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</row>
    <row r="42" customFormat="false" ht="18" hidden="false" customHeight="true" outlineLevel="0" collapsed="false">
      <c r="A42" s="25"/>
      <c r="B42" s="25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</row>
    <row r="43" customFormat="false" ht="18" hidden="false" customHeight="true" outlineLevel="0" collapsed="false">
      <c r="A43" s="24"/>
      <c r="B43" s="24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</row>
    <row r="44" customFormat="false" ht="18" hidden="false" customHeight="true" outlineLevel="0" collapsed="false">
      <c r="A44" s="25"/>
      <c r="B44" s="25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</row>
    <row r="45" customFormat="false" ht="18" hidden="false" customHeight="true" outlineLevel="0" collapsed="false">
      <c r="A45" s="24"/>
      <c r="B45" s="24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</row>
    <row r="46" customFormat="false" ht="18" hidden="false" customHeight="true" outlineLevel="0" collapsed="false">
      <c r="A46" s="25"/>
      <c r="B46" s="25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</row>
    <row r="47" customFormat="false" ht="18" hidden="false" customHeight="true" outlineLevel="0" collapsed="false">
      <c r="A47" s="24"/>
      <c r="B47" s="24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8" customFormat="false" ht="18" hidden="false" customHeight="true" outlineLevel="0" collapsed="false">
      <c r="A48" s="25"/>
      <c r="B48" s="25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49" customFormat="false" ht="18" hidden="false" customHeight="true" outlineLevel="0" collapsed="false">
      <c r="A49" s="24"/>
      <c r="B49" s="24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</row>
    <row r="50" customFormat="false" ht="18" hidden="false" customHeight="true" outlineLevel="0" collapsed="false">
      <c r="A50" s="25"/>
      <c r="B50" s="25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</row>
    <row r="51" customFormat="false" ht="18" hidden="false" customHeight="true" outlineLevel="0" collapsed="false">
      <c r="A51" s="24"/>
      <c r="B51" s="24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</row>
    <row r="52" customFormat="false" ht="18" hidden="false" customHeight="true" outlineLevel="0" collapsed="false">
      <c r="A52" s="25"/>
      <c r="B52" s="25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</row>
    <row r="53" customFormat="false" ht="18" hidden="false" customHeight="true" outlineLevel="0" collapsed="false">
      <c r="A53" s="24"/>
      <c r="B53" s="24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</row>
    <row r="54" customFormat="false" ht="18" hidden="false" customHeight="true" outlineLevel="0" collapsed="false">
      <c r="A54" s="25"/>
      <c r="B54" s="25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</row>
    <row r="55" customFormat="false" ht="18" hidden="false" customHeight="true" outlineLevel="0" collapsed="false">
      <c r="A55" s="24"/>
      <c r="B55" s="24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</row>
    <row r="56" customFormat="false" ht="18" hidden="false" customHeight="true" outlineLevel="0" collapsed="false">
      <c r="A56" s="25"/>
      <c r="B56" s="25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</row>
    <row r="57" customFormat="false" ht="18" hidden="false" customHeight="true" outlineLevel="0" collapsed="false">
      <c r="A57" s="24"/>
      <c r="B57" s="24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</row>
    <row r="58" customFormat="false" ht="18" hidden="false" customHeight="true" outlineLevel="0" collapsed="false">
      <c r="A58" s="25"/>
      <c r="B58" s="25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</row>
    <row r="59" customFormat="false" ht="18" hidden="false" customHeight="true" outlineLevel="0" collapsed="false">
      <c r="A59" s="24"/>
      <c r="B59" s="24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</row>
    <row r="60" customFormat="false" ht="18" hidden="false" customHeight="true" outlineLevel="0" collapsed="false">
      <c r="A60" s="25"/>
      <c r="B60" s="25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</row>
    <row r="61" customFormat="false" ht="18" hidden="false" customHeight="true" outlineLevel="0" collapsed="false">
      <c r="A61" s="24"/>
      <c r="B61" s="24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</row>
    <row r="62" customFormat="false" ht="18" hidden="false" customHeight="true" outlineLevel="0" collapsed="false">
      <c r="A62" s="25"/>
      <c r="B62" s="25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</row>
    <row r="63" customFormat="false" ht="18" hidden="false" customHeight="true" outlineLevel="0" collapsed="false">
      <c r="A63" s="24"/>
      <c r="B63" s="24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</row>
    <row r="64" customFormat="false" ht="18" hidden="false" customHeight="true" outlineLevel="0" collapsed="false">
      <c r="A64" s="25"/>
      <c r="B64" s="25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</row>
    <row r="65" customFormat="false" ht="18" hidden="false" customHeight="true" outlineLevel="0" collapsed="false">
      <c r="A65" s="24"/>
      <c r="B65" s="24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</row>
    <row r="66" customFormat="false" ht="18" hidden="false" customHeight="true" outlineLevel="0" collapsed="false">
      <c r="A66" s="25"/>
      <c r="B66" s="25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942"/>
    <pageSetUpPr fitToPage="false"/>
  </sheetPr>
  <dimension ref="A1:AE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1"/>
    <col collapsed="false" customWidth="true" hidden="false" outlineLevel="0" max="8" min="7" style="1" width="18"/>
    <col collapsed="false" customWidth="true" hidden="false" outlineLevel="0" max="9" min="9" style="1" width="16"/>
    <col collapsed="false" customWidth="true" hidden="false" outlineLevel="0" max="10" min="10" style="1" width="11"/>
    <col collapsed="false" customWidth="true" hidden="false" outlineLevel="0" max="11" min="11" style="1" width="18"/>
    <col collapsed="false" customWidth="true" hidden="false" outlineLevel="0" max="12" min="12" style="1" width="22"/>
    <col collapsed="false" customWidth="true" hidden="true" outlineLevel="0" max="31" min="14" style="1" width="13"/>
  </cols>
  <sheetData>
    <row r="1" customFormat="false" ht="31.5" hidden="false" customHeight="true" outlineLevel="0" collapsed="false">
      <c r="A1" s="16" t="s">
        <v>63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N1" s="1" t="n">
        <v>700</v>
      </c>
      <c r="O1" s="1" t="n">
        <v>1000</v>
      </c>
      <c r="P1" s="1" t="n">
        <v>1500</v>
      </c>
      <c r="Q1" s="1" t="n">
        <v>2000</v>
      </c>
      <c r="R1" s="1" t="n">
        <v>3000</v>
      </c>
      <c r="S1" s="1" t="n">
        <v>3500</v>
      </c>
      <c r="T1" s="1" t="n">
        <v>4000</v>
      </c>
      <c r="U1" s="1" t="n">
        <v>5000</v>
      </c>
      <c r="V1" s="1" t="n">
        <v>6000</v>
      </c>
      <c r="W1" s="1" t="n">
        <v>8000</v>
      </c>
      <c r="X1" s="1" t="n">
        <v>9500</v>
      </c>
      <c r="Y1" s="1" t="n">
        <v>10000</v>
      </c>
      <c r="Z1" s="1" t="n">
        <v>12000</v>
      </c>
      <c r="AA1" s="1" t="n">
        <v>15000</v>
      </c>
      <c r="AB1" s="1" t="n">
        <v>20000</v>
      </c>
      <c r="AC1" s="1" t="n">
        <v>30000</v>
      </c>
      <c r="AD1" s="1" t="n">
        <v>40000</v>
      </c>
      <c r="AE1" s="1" t="n">
        <v>50000</v>
      </c>
    </row>
    <row r="2" customFormat="false" ht="18" hidden="false" customHeight="true" outlineLevel="0" collapsed="false">
      <c r="A2" s="17" t="s">
        <v>64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customFormat="false" ht="21.75" hidden="false" customHeight="true" outlineLevel="0" collapsed="false">
      <c r="A3" s="26" t="s">
        <v>65</v>
      </c>
      <c r="B3" s="26"/>
      <c r="C3" s="26"/>
      <c r="D3" s="27" t="str">
        <f aca="false">SETTINGS!B5&amp;"%"</f>
        <v>15%</v>
      </c>
      <c r="E3" s="26" t="s">
        <v>66</v>
      </c>
      <c r="F3" s="26"/>
      <c r="G3" s="26"/>
      <c r="H3" s="27" t="str">
        <f aca="false">SETTINGS!B6&amp;"%"</f>
        <v>20%</v>
      </c>
      <c r="I3" s="26" t="s">
        <v>67</v>
      </c>
      <c r="J3" s="26"/>
      <c r="K3" s="26"/>
      <c r="L3" s="27" t="str">
        <f aca="false">SETTINGS!B7&amp;"% of Margin"</f>
        <v>10% of Margin</v>
      </c>
    </row>
    <row r="5" customFormat="false" ht="30" hidden="false" customHeight="true" outlineLevel="0" collapsed="false">
      <c r="A5" s="28" t="s">
        <v>68</v>
      </c>
      <c r="B5" s="28" t="s">
        <v>69</v>
      </c>
      <c r="C5" s="28" t="s">
        <v>70</v>
      </c>
      <c r="D5" s="28" t="s">
        <v>71</v>
      </c>
      <c r="E5" s="28" t="s">
        <v>28</v>
      </c>
      <c r="F5" s="28" t="s">
        <v>72</v>
      </c>
      <c r="G5" s="28" t="s">
        <v>73</v>
      </c>
      <c r="H5" s="28" t="s">
        <v>74</v>
      </c>
      <c r="I5" s="28" t="s">
        <v>75</v>
      </c>
      <c r="J5" s="28" t="s">
        <v>76</v>
      </c>
      <c r="K5" s="28" t="s">
        <v>77</v>
      </c>
      <c r="L5" s="28" t="s">
        <v>78</v>
      </c>
    </row>
    <row r="6" customFormat="false" ht="19.5" hidden="false" customHeight="true" outlineLevel="0" collapsed="false">
      <c r="A6" s="6" t="s">
        <v>79</v>
      </c>
      <c r="B6" s="29"/>
      <c r="C6" s="30"/>
      <c r="D6" s="30"/>
      <c r="E6" s="6"/>
      <c r="F6" s="31"/>
      <c r="G6" s="32"/>
      <c r="H6" s="33" t="str">
        <f aca="false">IF(OR(E6="",F6=""),"",IFERROR(INDEX('COST TABLE'!$C$4:$T$200,MATCH(E6,'COST TABLE'!$A$4:$A$200,0),MATCH(LARGE(IF(N1:AE1&lt;=F6,N1:AE1),1),N1:AE1,0)),"⚠ NOT FOUND"))</f>
        <v/>
      </c>
      <c r="I6" s="33" t="str">
        <f aca="false">IF(OR(G6="",H6=""),"",G6-H6)</f>
        <v/>
      </c>
      <c r="J6" s="34" t="str">
        <f aca="false">IF(OR(G6="",H6=""),"",IF(G6=0,0,(G6-H6)/G6))</f>
        <v/>
      </c>
      <c r="K6" s="35" t="str">
        <f aca="false">IF(OR(G6="",H6=""),"",IF(H6="⚠ NOT FOUND","⚠ CHECK PRODUCT",IF((G6-H6)/G6&lt;SETTINGS!$B$5/100,"❌ DISAPPROVED",IF((G6-H6)/G6&lt;SETTINGS!$B$6/100,"⚠ LOW MARGIN","✅ APPROVED"))))</f>
        <v/>
      </c>
      <c r="L6" s="33" t="str">
        <f aca="false">IF(OR(I6="",I6&lt;=0),"",I6*F6*SETTINGS!$B$7/100)</f>
        <v/>
      </c>
    </row>
    <row r="7" customFormat="false" ht="19.5" hidden="false" customHeight="true" outlineLevel="0" collapsed="false">
      <c r="A7" s="6" t="s">
        <v>80</v>
      </c>
      <c r="B7" s="29"/>
      <c r="C7" s="30"/>
      <c r="D7" s="30"/>
      <c r="E7" s="6"/>
      <c r="F7" s="31"/>
      <c r="G7" s="32"/>
      <c r="H7" s="33" t="str">
        <f aca="false">IF(OR(E7="",F7=""),"",IFERROR(INDEX('COST TABLE'!$C$4:$T$200,MATCH(E7,'COST TABLE'!$A$4:$A$200,0),MATCH(LARGE(IF(N1:AE1&lt;=F7,N1:AE1),1),N1:AE1,0)),"⚠ NOT FOUND"))</f>
        <v/>
      </c>
      <c r="I7" s="33" t="str">
        <f aca="false">IF(OR(G7="",H7=""),"",G7-H7)</f>
        <v/>
      </c>
      <c r="J7" s="34" t="str">
        <f aca="false">IF(OR(G7="",H7=""),"",IF(G7=0,0,(G7-H7)/G7))</f>
        <v/>
      </c>
      <c r="K7" s="35" t="str">
        <f aca="false">IF(OR(G7="",H7=""),"",IF(H7="⚠ NOT FOUND","⚠ CHECK PRODUCT",IF((G7-H7)/G7&lt;SETTINGS!$B$5/100,"❌ DISAPPROVED",IF((G7-H7)/G7&lt;SETTINGS!$B$6/100,"⚠ LOW MARGIN","✅ APPROVED"))))</f>
        <v/>
      </c>
      <c r="L7" s="33" t="str">
        <f aca="false">IF(OR(I7="",I7&lt;=0),"",I7*F7*SETTINGS!$B$7/100)</f>
        <v/>
      </c>
    </row>
    <row r="8" customFormat="false" ht="19.5" hidden="false" customHeight="true" outlineLevel="0" collapsed="false">
      <c r="A8" s="6" t="s">
        <v>81</v>
      </c>
      <c r="B8" s="29"/>
      <c r="C8" s="30"/>
      <c r="D8" s="30"/>
      <c r="E8" s="6"/>
      <c r="F8" s="31"/>
      <c r="G8" s="32"/>
      <c r="H8" s="33" t="str">
        <f aca="false">IF(OR(E8="",F8=""),"",IFERROR(INDEX('COST TABLE'!$C$4:$T$200,MATCH(E8,'COST TABLE'!$A$4:$A$200,0),MATCH(LARGE(IF(N1:AE1&lt;=F8,N1:AE1),1),N1:AE1,0)),"⚠ NOT FOUND"))</f>
        <v/>
      </c>
      <c r="I8" s="33" t="str">
        <f aca="false">IF(OR(G8="",H8=""),"",G8-H8)</f>
        <v/>
      </c>
      <c r="J8" s="34" t="str">
        <f aca="false">IF(OR(G8="",H8=""),"",IF(G8=0,0,(G8-H8)/G8))</f>
        <v/>
      </c>
      <c r="K8" s="35" t="str">
        <f aca="false">IF(OR(G8="",H8=""),"",IF(H8="⚠ NOT FOUND","⚠ CHECK PRODUCT",IF((G8-H8)/G8&lt;SETTINGS!$B$5/100,"❌ DISAPPROVED",IF((G8-H8)/G8&lt;SETTINGS!$B$6/100,"⚠ LOW MARGIN","✅ APPROVED"))))</f>
        <v/>
      </c>
      <c r="L8" s="33" t="str">
        <f aca="false">IF(OR(I8="",I8&lt;=0),"",I8*F8*SETTINGS!$B$7/100)</f>
        <v/>
      </c>
    </row>
    <row r="9" customFormat="false" ht="19.5" hidden="false" customHeight="true" outlineLevel="0" collapsed="false">
      <c r="A9" s="6" t="s">
        <v>82</v>
      </c>
      <c r="B9" s="29"/>
      <c r="C9" s="30"/>
      <c r="D9" s="30"/>
      <c r="E9" s="6"/>
      <c r="F9" s="31"/>
      <c r="G9" s="32"/>
      <c r="H9" s="33" t="str">
        <f aca="false">IF(OR(E9="",F9=""),"",IFERROR(INDEX('COST TABLE'!$C$4:$T$200,MATCH(E9,'COST TABLE'!$A$4:$A$200,0),MATCH(LARGE(IF(N1:AE1&lt;=F9,N1:AE1),1),N1:AE1,0)),"⚠ NOT FOUND"))</f>
        <v/>
      </c>
      <c r="I9" s="33" t="str">
        <f aca="false">IF(OR(G9="",H9=""),"",G9-H9)</f>
        <v/>
      </c>
      <c r="J9" s="34" t="str">
        <f aca="false">IF(OR(G9="",H9=""),"",IF(G9=0,0,(G9-H9)/G9))</f>
        <v/>
      </c>
      <c r="K9" s="35" t="str">
        <f aca="false">IF(OR(G9="",H9=""),"",IF(H9="⚠ NOT FOUND","⚠ CHECK PRODUCT",IF((G9-H9)/G9&lt;SETTINGS!$B$5/100,"❌ DISAPPROVED",IF((G9-H9)/G9&lt;SETTINGS!$B$6/100,"⚠ LOW MARGIN","✅ APPROVED"))))</f>
        <v/>
      </c>
      <c r="L9" s="33" t="str">
        <f aca="false">IF(OR(I9="",I9&lt;=0),"",I9*F9*SETTINGS!$B$7/100)</f>
        <v/>
      </c>
    </row>
    <row r="10" customFormat="false" ht="19.5" hidden="false" customHeight="true" outlineLevel="0" collapsed="false">
      <c r="A10" s="6" t="s">
        <v>83</v>
      </c>
      <c r="B10" s="29"/>
      <c r="C10" s="30"/>
      <c r="D10" s="30"/>
      <c r="E10" s="6"/>
      <c r="F10" s="31"/>
      <c r="G10" s="32"/>
      <c r="H10" s="33" t="str">
        <f aca="false">IF(OR(E10="",F10=""),"",IFERROR(INDEX('COST TABLE'!$C$4:$T$200,MATCH(E10,'COST TABLE'!$A$4:$A$200,0),MATCH(LARGE(IF(N1:AE1&lt;=F10,N1:AE1),1),N1:AE1,0)),"⚠ NOT FOUND"))</f>
        <v/>
      </c>
      <c r="I10" s="33" t="str">
        <f aca="false">IF(OR(G10="",H10=""),"",G10-H10)</f>
        <v/>
      </c>
      <c r="J10" s="34" t="str">
        <f aca="false">IF(OR(G10="",H10=""),"",IF(G10=0,0,(G10-H10)/G10))</f>
        <v/>
      </c>
      <c r="K10" s="35" t="str">
        <f aca="false">IF(OR(G10="",H10=""),"",IF(H10="⚠ NOT FOUND","⚠ CHECK PRODUCT",IF((G10-H10)/G10&lt;SETTINGS!$B$5/100,"❌ DISAPPROVED",IF((G10-H10)/G10&lt;SETTINGS!$B$6/100,"⚠ LOW MARGIN","✅ APPROVED"))))</f>
        <v/>
      </c>
      <c r="L10" s="33" t="str">
        <f aca="false">IF(OR(I10="",I10&lt;=0),"",I10*F10*SETTINGS!$B$7/100)</f>
        <v/>
      </c>
    </row>
    <row r="11" customFormat="false" ht="19.5" hidden="false" customHeight="true" outlineLevel="0" collapsed="false">
      <c r="A11" s="6" t="s">
        <v>84</v>
      </c>
      <c r="B11" s="29"/>
      <c r="C11" s="30"/>
      <c r="D11" s="30"/>
      <c r="E11" s="6"/>
      <c r="F11" s="31"/>
      <c r="G11" s="32"/>
      <c r="H11" s="33" t="str">
        <f aca="false">IF(OR(E11="",F11=""),"",IFERROR(INDEX('COST TABLE'!$C$4:$T$200,MATCH(E11,'COST TABLE'!$A$4:$A$200,0),MATCH(LARGE(IF(N1:AE1&lt;=F11,N1:AE1),1),N1:AE1,0)),"⚠ NOT FOUND"))</f>
        <v/>
      </c>
      <c r="I11" s="33" t="str">
        <f aca="false">IF(OR(G11="",H11=""),"",G11-H11)</f>
        <v/>
      </c>
      <c r="J11" s="34" t="str">
        <f aca="false">IF(OR(G11="",H11=""),"",IF(G11=0,0,(G11-H11)/G11))</f>
        <v/>
      </c>
      <c r="K11" s="35" t="str">
        <f aca="false">IF(OR(G11="",H11=""),"",IF(H11="⚠ NOT FOUND","⚠ CHECK PRODUCT",IF((G11-H11)/G11&lt;SETTINGS!$B$5/100,"❌ DISAPPROVED",IF((G11-H11)/G11&lt;SETTINGS!$B$6/100,"⚠ LOW MARGIN","✅ APPROVED"))))</f>
        <v/>
      </c>
      <c r="L11" s="33" t="str">
        <f aca="false">IF(OR(I11="",I11&lt;=0),"",I11*F11*SETTINGS!$B$7/100)</f>
        <v/>
      </c>
    </row>
    <row r="12" customFormat="false" ht="19.5" hidden="false" customHeight="true" outlineLevel="0" collapsed="false">
      <c r="A12" s="6" t="s">
        <v>85</v>
      </c>
      <c r="B12" s="29"/>
      <c r="C12" s="30"/>
      <c r="D12" s="30"/>
      <c r="E12" s="6"/>
      <c r="F12" s="31"/>
      <c r="G12" s="32"/>
      <c r="H12" s="33" t="str">
        <f aca="false">IF(OR(E12="",F12=""),"",IFERROR(INDEX('COST TABLE'!$C$4:$T$200,MATCH(E12,'COST TABLE'!$A$4:$A$200,0),MATCH(LARGE(IF(N1:AE1&lt;=F12,N1:AE1),1),N1:AE1,0)),"⚠ NOT FOUND"))</f>
        <v/>
      </c>
      <c r="I12" s="33" t="str">
        <f aca="false">IF(OR(G12="",H12=""),"",G12-H12)</f>
        <v/>
      </c>
      <c r="J12" s="34" t="str">
        <f aca="false">IF(OR(G12="",H12=""),"",IF(G12=0,0,(G12-H12)/G12))</f>
        <v/>
      </c>
      <c r="K12" s="35" t="str">
        <f aca="false">IF(OR(G12="",H12=""),"",IF(H12="⚠ NOT FOUND","⚠ CHECK PRODUCT",IF((G12-H12)/G12&lt;SETTINGS!$B$5/100,"❌ DISAPPROVED",IF((G12-H12)/G12&lt;SETTINGS!$B$6/100,"⚠ LOW MARGIN","✅ APPROVED"))))</f>
        <v/>
      </c>
      <c r="L12" s="33" t="str">
        <f aca="false">IF(OR(I12="",I12&lt;=0),"",I12*F12*SETTINGS!$B$7/100)</f>
        <v/>
      </c>
    </row>
    <row r="13" customFormat="false" ht="19.5" hidden="false" customHeight="true" outlineLevel="0" collapsed="false">
      <c r="A13" s="6" t="s">
        <v>86</v>
      </c>
      <c r="B13" s="29"/>
      <c r="C13" s="30"/>
      <c r="D13" s="30"/>
      <c r="E13" s="6"/>
      <c r="F13" s="31"/>
      <c r="G13" s="32"/>
      <c r="H13" s="33" t="str">
        <f aca="false">IF(OR(E13="",F13=""),"",IFERROR(INDEX('COST TABLE'!$C$4:$T$200,MATCH(E13,'COST TABLE'!$A$4:$A$200,0),MATCH(LARGE(IF(N1:AE1&lt;=F13,N1:AE1),1),N1:AE1,0)),"⚠ NOT FOUND"))</f>
        <v/>
      </c>
      <c r="I13" s="33" t="str">
        <f aca="false">IF(OR(G13="",H13=""),"",G13-H13)</f>
        <v/>
      </c>
      <c r="J13" s="34" t="str">
        <f aca="false">IF(OR(G13="",H13=""),"",IF(G13=0,0,(G13-H13)/G13))</f>
        <v/>
      </c>
      <c r="K13" s="35" t="str">
        <f aca="false">IF(OR(G13="",H13=""),"",IF(H13="⚠ NOT FOUND","⚠ CHECK PRODUCT",IF((G13-H13)/G13&lt;SETTINGS!$B$5/100,"❌ DISAPPROVED",IF((G13-H13)/G13&lt;SETTINGS!$B$6/100,"⚠ LOW MARGIN","✅ APPROVED"))))</f>
        <v/>
      </c>
      <c r="L13" s="33" t="str">
        <f aca="false">IF(OR(I13="",I13&lt;=0),"",I13*F13*SETTINGS!$B$7/100)</f>
        <v/>
      </c>
    </row>
    <row r="14" customFormat="false" ht="19.5" hidden="false" customHeight="true" outlineLevel="0" collapsed="false">
      <c r="A14" s="6" t="s">
        <v>87</v>
      </c>
      <c r="B14" s="29"/>
      <c r="C14" s="30"/>
      <c r="D14" s="30"/>
      <c r="E14" s="6"/>
      <c r="F14" s="31"/>
      <c r="G14" s="32"/>
      <c r="H14" s="33" t="str">
        <f aca="false">IF(OR(E14="",F14=""),"",IFERROR(INDEX('COST TABLE'!$C$4:$T$200,MATCH(E14,'COST TABLE'!$A$4:$A$200,0),MATCH(LARGE(IF(N1:AE1&lt;=F14,N1:AE1),1),N1:AE1,0)),"⚠ NOT FOUND"))</f>
        <v/>
      </c>
      <c r="I14" s="33" t="str">
        <f aca="false">IF(OR(G14="",H14=""),"",G14-H14)</f>
        <v/>
      </c>
      <c r="J14" s="34" t="str">
        <f aca="false">IF(OR(G14="",H14=""),"",IF(G14=0,0,(G14-H14)/G14))</f>
        <v/>
      </c>
      <c r="K14" s="35" t="str">
        <f aca="false">IF(OR(G14="",H14=""),"",IF(H14="⚠ NOT FOUND","⚠ CHECK PRODUCT",IF((G14-H14)/G14&lt;SETTINGS!$B$5/100,"❌ DISAPPROVED",IF((G14-H14)/G14&lt;SETTINGS!$B$6/100,"⚠ LOW MARGIN","✅ APPROVED"))))</f>
        <v/>
      </c>
      <c r="L14" s="33" t="str">
        <f aca="false">IF(OR(I14="",I14&lt;=0),"",I14*F14*SETTINGS!$B$7/100)</f>
        <v/>
      </c>
    </row>
    <row r="15" customFormat="false" ht="19.5" hidden="false" customHeight="true" outlineLevel="0" collapsed="false">
      <c r="A15" s="6" t="s">
        <v>88</v>
      </c>
      <c r="B15" s="29"/>
      <c r="C15" s="30"/>
      <c r="D15" s="30"/>
      <c r="E15" s="6"/>
      <c r="F15" s="31"/>
      <c r="G15" s="32"/>
      <c r="H15" s="33" t="str">
        <f aca="false">IF(OR(E15="",F15=""),"",IFERROR(INDEX('COST TABLE'!$C$4:$T$200,MATCH(E15,'COST TABLE'!$A$4:$A$200,0),MATCH(LARGE(IF(N1:AE1&lt;=F15,N1:AE1),1),N1:AE1,0)),"⚠ NOT FOUND"))</f>
        <v/>
      </c>
      <c r="I15" s="33" t="str">
        <f aca="false">IF(OR(G15="",H15=""),"",G15-H15)</f>
        <v/>
      </c>
      <c r="J15" s="34" t="str">
        <f aca="false">IF(OR(G15="",H15=""),"",IF(G15=0,0,(G15-H15)/G15))</f>
        <v/>
      </c>
      <c r="K15" s="35" t="str">
        <f aca="false">IF(OR(G15="",H15=""),"",IF(H15="⚠ NOT FOUND","⚠ CHECK PRODUCT",IF((G15-H15)/G15&lt;SETTINGS!$B$5/100,"❌ DISAPPROVED",IF((G15-H15)/G15&lt;SETTINGS!$B$6/100,"⚠ LOW MARGIN","✅ APPROVED"))))</f>
        <v/>
      </c>
      <c r="L15" s="33" t="str">
        <f aca="false">IF(OR(I15="",I15&lt;=0),"",I15*F15*SETTINGS!$B$7/100)</f>
        <v/>
      </c>
    </row>
    <row r="16" customFormat="false" ht="19.5" hidden="false" customHeight="true" outlineLevel="0" collapsed="false">
      <c r="A16" s="6" t="s">
        <v>89</v>
      </c>
      <c r="B16" s="29"/>
      <c r="C16" s="30"/>
      <c r="D16" s="30"/>
      <c r="E16" s="6"/>
      <c r="F16" s="31"/>
      <c r="G16" s="32"/>
      <c r="H16" s="33" t="str">
        <f aca="false">IF(OR(E16="",F16=""),"",IFERROR(INDEX('COST TABLE'!$C$4:$T$200,MATCH(E16,'COST TABLE'!$A$4:$A$200,0),MATCH(LARGE(IF(N1:AE1&lt;=F16,N1:AE1),1),N1:AE1,0)),"⚠ NOT FOUND"))</f>
        <v/>
      </c>
      <c r="I16" s="33" t="str">
        <f aca="false">IF(OR(G16="",H16=""),"",G16-H16)</f>
        <v/>
      </c>
      <c r="J16" s="34" t="str">
        <f aca="false">IF(OR(G16="",H16=""),"",IF(G16=0,0,(G16-H16)/G16))</f>
        <v/>
      </c>
      <c r="K16" s="35" t="str">
        <f aca="false">IF(OR(G16="",H16=""),"",IF(H16="⚠ NOT FOUND","⚠ CHECK PRODUCT",IF((G16-H16)/G16&lt;SETTINGS!$B$5/100,"❌ DISAPPROVED",IF((G16-H16)/G16&lt;SETTINGS!$B$6/100,"⚠ LOW MARGIN","✅ APPROVED"))))</f>
        <v/>
      </c>
      <c r="L16" s="33" t="str">
        <f aca="false">IF(OR(I16="",I16&lt;=0),"",I16*F16*SETTINGS!$B$7/100)</f>
        <v/>
      </c>
    </row>
    <row r="17" customFormat="false" ht="19.5" hidden="false" customHeight="true" outlineLevel="0" collapsed="false">
      <c r="A17" s="6" t="s">
        <v>90</v>
      </c>
      <c r="B17" s="29"/>
      <c r="C17" s="30"/>
      <c r="D17" s="30"/>
      <c r="E17" s="6"/>
      <c r="F17" s="31"/>
      <c r="G17" s="32"/>
      <c r="H17" s="33" t="str">
        <f aca="false">IF(OR(E17="",F17=""),"",IFERROR(INDEX('COST TABLE'!$C$4:$T$200,MATCH(E17,'COST TABLE'!$A$4:$A$200,0),MATCH(LARGE(IF(N1:AE1&lt;=F17,N1:AE1),1),N1:AE1,0)),"⚠ NOT FOUND"))</f>
        <v/>
      </c>
      <c r="I17" s="33" t="str">
        <f aca="false">IF(OR(G17="",H17=""),"",G17-H17)</f>
        <v/>
      </c>
      <c r="J17" s="34" t="str">
        <f aca="false">IF(OR(G17="",H17=""),"",IF(G17=0,0,(G17-H17)/G17))</f>
        <v/>
      </c>
      <c r="K17" s="35" t="str">
        <f aca="false">IF(OR(G17="",H17=""),"",IF(H17="⚠ NOT FOUND","⚠ CHECK PRODUCT",IF((G17-H17)/G17&lt;SETTINGS!$B$5/100,"❌ DISAPPROVED",IF((G17-H17)/G17&lt;SETTINGS!$B$6/100,"⚠ LOW MARGIN","✅ APPROVED"))))</f>
        <v/>
      </c>
      <c r="L17" s="33" t="str">
        <f aca="false">IF(OR(I17="",I17&lt;=0),"",I17*F17*SETTINGS!$B$7/100)</f>
        <v/>
      </c>
    </row>
    <row r="18" customFormat="false" ht="19.5" hidden="false" customHeight="true" outlineLevel="0" collapsed="false">
      <c r="A18" s="6" t="s">
        <v>91</v>
      </c>
      <c r="B18" s="29"/>
      <c r="C18" s="30"/>
      <c r="D18" s="30"/>
      <c r="E18" s="6"/>
      <c r="F18" s="31"/>
      <c r="G18" s="32"/>
      <c r="H18" s="33" t="str">
        <f aca="false">IF(OR(E18="",F18=""),"",IFERROR(INDEX('COST TABLE'!$C$4:$T$200,MATCH(E18,'COST TABLE'!$A$4:$A$200,0),MATCH(LARGE(IF(N1:AE1&lt;=F18,N1:AE1),1),N1:AE1,0)),"⚠ NOT FOUND"))</f>
        <v/>
      </c>
      <c r="I18" s="33" t="str">
        <f aca="false">IF(OR(G18="",H18=""),"",G18-H18)</f>
        <v/>
      </c>
      <c r="J18" s="34" t="str">
        <f aca="false">IF(OR(G18="",H18=""),"",IF(G18=0,0,(G18-H18)/G18))</f>
        <v/>
      </c>
      <c r="K18" s="35" t="str">
        <f aca="false">IF(OR(G18="",H18=""),"",IF(H18="⚠ NOT FOUND","⚠ CHECK PRODUCT",IF((G18-H18)/G18&lt;SETTINGS!$B$5/100,"❌ DISAPPROVED",IF((G18-H18)/G18&lt;SETTINGS!$B$6/100,"⚠ LOW MARGIN","✅ APPROVED"))))</f>
        <v/>
      </c>
      <c r="L18" s="33" t="str">
        <f aca="false">IF(OR(I18="",I18&lt;=0),"",I18*F18*SETTINGS!$B$7/100)</f>
        <v/>
      </c>
    </row>
    <row r="19" customFormat="false" ht="19.5" hidden="false" customHeight="true" outlineLevel="0" collapsed="false">
      <c r="A19" s="6" t="s">
        <v>92</v>
      </c>
      <c r="B19" s="29"/>
      <c r="C19" s="30"/>
      <c r="D19" s="30"/>
      <c r="E19" s="6"/>
      <c r="F19" s="31"/>
      <c r="G19" s="32"/>
      <c r="H19" s="33" t="str">
        <f aca="false">IF(OR(E19="",F19=""),"",IFERROR(INDEX('COST TABLE'!$C$4:$T$200,MATCH(E19,'COST TABLE'!$A$4:$A$200,0),MATCH(LARGE(IF(N1:AE1&lt;=F19,N1:AE1),1),N1:AE1,0)),"⚠ NOT FOUND"))</f>
        <v/>
      </c>
      <c r="I19" s="33" t="str">
        <f aca="false">IF(OR(G19="",H19=""),"",G19-H19)</f>
        <v/>
      </c>
      <c r="J19" s="34" t="str">
        <f aca="false">IF(OR(G19="",H19=""),"",IF(G19=0,0,(G19-H19)/G19))</f>
        <v/>
      </c>
      <c r="K19" s="35" t="str">
        <f aca="false">IF(OR(G19="",H19=""),"",IF(H19="⚠ NOT FOUND","⚠ CHECK PRODUCT",IF((G19-H19)/G19&lt;SETTINGS!$B$5/100,"❌ DISAPPROVED",IF((G19-H19)/G19&lt;SETTINGS!$B$6/100,"⚠ LOW MARGIN","✅ APPROVED"))))</f>
        <v/>
      </c>
      <c r="L19" s="33" t="str">
        <f aca="false">IF(OR(I19="",I19&lt;=0),"",I19*F19*SETTINGS!$B$7/100)</f>
        <v/>
      </c>
    </row>
    <row r="20" customFormat="false" ht="19.5" hidden="false" customHeight="true" outlineLevel="0" collapsed="false">
      <c r="A20" s="6" t="s">
        <v>93</v>
      </c>
      <c r="B20" s="29"/>
      <c r="C20" s="30"/>
      <c r="D20" s="30"/>
      <c r="E20" s="6"/>
      <c r="F20" s="31"/>
      <c r="G20" s="32"/>
      <c r="H20" s="33" t="str">
        <f aca="false">IF(OR(E20="",F20=""),"",IFERROR(INDEX('COST TABLE'!$C$4:$T$200,MATCH(E20,'COST TABLE'!$A$4:$A$200,0),MATCH(LARGE(IF(N1:AE1&lt;=F20,N1:AE1),1),N1:AE1,0)),"⚠ NOT FOUND"))</f>
        <v/>
      </c>
      <c r="I20" s="33" t="str">
        <f aca="false">IF(OR(G20="",H20=""),"",G20-H20)</f>
        <v/>
      </c>
      <c r="J20" s="34" t="str">
        <f aca="false">IF(OR(G20="",H20=""),"",IF(G20=0,0,(G20-H20)/G20))</f>
        <v/>
      </c>
      <c r="K20" s="35" t="str">
        <f aca="false">IF(OR(G20="",H20=""),"",IF(H20="⚠ NOT FOUND","⚠ CHECK PRODUCT",IF((G20-H20)/G20&lt;SETTINGS!$B$5/100,"❌ DISAPPROVED",IF((G20-H20)/G20&lt;SETTINGS!$B$6/100,"⚠ LOW MARGIN","✅ APPROVED"))))</f>
        <v/>
      </c>
      <c r="L20" s="33" t="str">
        <f aca="false">IF(OR(I20="",I20&lt;=0),"",I20*F20*SETTINGS!$B$7/100)</f>
        <v/>
      </c>
    </row>
    <row r="21" customFormat="false" ht="19.5" hidden="false" customHeight="true" outlineLevel="0" collapsed="false">
      <c r="A21" s="6" t="s">
        <v>94</v>
      </c>
      <c r="B21" s="29"/>
      <c r="C21" s="30"/>
      <c r="D21" s="30"/>
      <c r="E21" s="6"/>
      <c r="F21" s="31"/>
      <c r="G21" s="32"/>
      <c r="H21" s="33" t="str">
        <f aca="false">IF(OR(E21="",F21=""),"",IFERROR(INDEX('COST TABLE'!$C$4:$T$200,MATCH(E21,'COST TABLE'!$A$4:$A$200,0),MATCH(LARGE(IF(N1:AE1&lt;=F21,N1:AE1),1),N1:AE1,0)),"⚠ NOT FOUND"))</f>
        <v/>
      </c>
      <c r="I21" s="33" t="str">
        <f aca="false">IF(OR(G21="",H21=""),"",G21-H21)</f>
        <v/>
      </c>
      <c r="J21" s="34" t="str">
        <f aca="false">IF(OR(G21="",H21=""),"",IF(G21=0,0,(G21-H21)/G21))</f>
        <v/>
      </c>
      <c r="K21" s="35" t="str">
        <f aca="false">IF(OR(G21="",H21=""),"",IF(H21="⚠ NOT FOUND","⚠ CHECK PRODUCT",IF((G21-H21)/G21&lt;SETTINGS!$B$5/100,"❌ DISAPPROVED",IF((G21-H21)/G21&lt;SETTINGS!$B$6/100,"⚠ LOW MARGIN","✅ APPROVED"))))</f>
        <v/>
      </c>
      <c r="L21" s="33" t="str">
        <f aca="false">IF(OR(I21="",I21&lt;=0),"",I21*F21*SETTINGS!$B$7/100)</f>
        <v/>
      </c>
    </row>
    <row r="22" customFormat="false" ht="19.5" hidden="false" customHeight="true" outlineLevel="0" collapsed="false">
      <c r="A22" s="6" t="s">
        <v>95</v>
      </c>
      <c r="B22" s="29"/>
      <c r="C22" s="30"/>
      <c r="D22" s="30"/>
      <c r="E22" s="6"/>
      <c r="F22" s="31"/>
      <c r="G22" s="32"/>
      <c r="H22" s="33" t="str">
        <f aca="false">IF(OR(E22="",F22=""),"",IFERROR(INDEX('COST TABLE'!$C$4:$T$200,MATCH(E22,'COST TABLE'!$A$4:$A$200,0),MATCH(LARGE(IF(N1:AE1&lt;=F22,N1:AE1),1),N1:AE1,0)),"⚠ NOT FOUND"))</f>
        <v/>
      </c>
      <c r="I22" s="33" t="str">
        <f aca="false">IF(OR(G22="",H22=""),"",G22-H22)</f>
        <v/>
      </c>
      <c r="J22" s="34" t="str">
        <f aca="false">IF(OR(G22="",H22=""),"",IF(G22=0,0,(G22-H22)/G22))</f>
        <v/>
      </c>
      <c r="K22" s="35" t="str">
        <f aca="false">IF(OR(G22="",H22=""),"",IF(H22="⚠ NOT FOUND","⚠ CHECK PRODUCT",IF((G22-H22)/G22&lt;SETTINGS!$B$5/100,"❌ DISAPPROVED",IF((G22-H22)/G22&lt;SETTINGS!$B$6/100,"⚠ LOW MARGIN","✅ APPROVED"))))</f>
        <v/>
      </c>
      <c r="L22" s="33" t="str">
        <f aca="false">IF(OR(I22="",I22&lt;=0),"",I22*F22*SETTINGS!$B$7/100)</f>
        <v/>
      </c>
    </row>
    <row r="23" customFormat="false" ht="19.5" hidden="false" customHeight="true" outlineLevel="0" collapsed="false">
      <c r="A23" s="6" t="s">
        <v>96</v>
      </c>
      <c r="B23" s="29"/>
      <c r="C23" s="30"/>
      <c r="D23" s="30"/>
      <c r="E23" s="6"/>
      <c r="F23" s="31"/>
      <c r="G23" s="32"/>
      <c r="H23" s="33" t="str">
        <f aca="false">IF(OR(E23="",F23=""),"",IFERROR(INDEX('COST TABLE'!$C$4:$T$200,MATCH(E23,'COST TABLE'!$A$4:$A$200,0),MATCH(LARGE(IF(N1:AE1&lt;=F23,N1:AE1),1),N1:AE1,0)),"⚠ NOT FOUND"))</f>
        <v/>
      </c>
      <c r="I23" s="33" t="str">
        <f aca="false">IF(OR(G23="",H23=""),"",G23-H23)</f>
        <v/>
      </c>
      <c r="J23" s="34" t="str">
        <f aca="false">IF(OR(G23="",H23=""),"",IF(G23=0,0,(G23-H23)/G23))</f>
        <v/>
      </c>
      <c r="K23" s="35" t="str">
        <f aca="false">IF(OR(G23="",H23=""),"",IF(H23="⚠ NOT FOUND","⚠ CHECK PRODUCT",IF((G23-H23)/G23&lt;SETTINGS!$B$5/100,"❌ DISAPPROVED",IF((G23-H23)/G23&lt;SETTINGS!$B$6/100,"⚠ LOW MARGIN","✅ APPROVED"))))</f>
        <v/>
      </c>
      <c r="L23" s="33" t="str">
        <f aca="false">IF(OR(I23="",I23&lt;=0),"",I23*F23*SETTINGS!$B$7/100)</f>
        <v/>
      </c>
    </row>
    <row r="24" customFormat="false" ht="19.5" hidden="false" customHeight="true" outlineLevel="0" collapsed="false">
      <c r="A24" s="6" t="s">
        <v>97</v>
      </c>
      <c r="B24" s="29"/>
      <c r="C24" s="30"/>
      <c r="D24" s="30"/>
      <c r="E24" s="6"/>
      <c r="F24" s="31"/>
      <c r="G24" s="32"/>
      <c r="H24" s="33" t="str">
        <f aca="false">IF(OR(E24="",F24=""),"",IFERROR(INDEX('COST TABLE'!$C$4:$T$200,MATCH(E24,'COST TABLE'!$A$4:$A$200,0),MATCH(LARGE(IF(N1:AE1&lt;=F24,N1:AE1),1),N1:AE1,0)),"⚠ NOT FOUND"))</f>
        <v/>
      </c>
      <c r="I24" s="33" t="str">
        <f aca="false">IF(OR(G24="",H24=""),"",G24-H24)</f>
        <v/>
      </c>
      <c r="J24" s="34" t="str">
        <f aca="false">IF(OR(G24="",H24=""),"",IF(G24=0,0,(G24-H24)/G24))</f>
        <v/>
      </c>
      <c r="K24" s="35" t="str">
        <f aca="false">IF(OR(G24="",H24=""),"",IF(H24="⚠ NOT FOUND","⚠ CHECK PRODUCT",IF((G24-H24)/G24&lt;SETTINGS!$B$5/100,"❌ DISAPPROVED",IF((G24-H24)/G24&lt;SETTINGS!$B$6/100,"⚠ LOW MARGIN","✅ APPROVED"))))</f>
        <v/>
      </c>
      <c r="L24" s="33" t="str">
        <f aca="false">IF(OR(I24="",I24&lt;=0),"",I24*F24*SETTINGS!$B$7/100)</f>
        <v/>
      </c>
    </row>
    <row r="25" customFormat="false" ht="19.5" hidden="false" customHeight="true" outlineLevel="0" collapsed="false">
      <c r="A25" s="6" t="s">
        <v>98</v>
      </c>
      <c r="B25" s="29"/>
      <c r="C25" s="30"/>
      <c r="D25" s="30"/>
      <c r="E25" s="6"/>
      <c r="F25" s="31"/>
      <c r="G25" s="32"/>
      <c r="H25" s="33" t="str">
        <f aca="false">IF(OR(E25="",F25=""),"",IFERROR(INDEX('COST TABLE'!$C$4:$T$200,MATCH(E25,'COST TABLE'!$A$4:$A$200,0),MATCH(LARGE(IF(N1:AE1&lt;=F25,N1:AE1),1),N1:AE1,0)),"⚠ NOT FOUND"))</f>
        <v/>
      </c>
      <c r="I25" s="33" t="str">
        <f aca="false">IF(OR(G25="",H25=""),"",G25-H25)</f>
        <v/>
      </c>
      <c r="J25" s="34" t="str">
        <f aca="false">IF(OR(G25="",H25=""),"",IF(G25=0,0,(G25-H25)/G25))</f>
        <v/>
      </c>
      <c r="K25" s="35" t="str">
        <f aca="false">IF(OR(G25="",H25=""),"",IF(H25="⚠ NOT FOUND","⚠ CHECK PRODUCT",IF((G25-H25)/G25&lt;SETTINGS!$B$5/100,"❌ DISAPPROVED",IF((G25-H25)/G25&lt;SETTINGS!$B$6/100,"⚠ LOW MARGIN","✅ APPROVED"))))</f>
        <v/>
      </c>
      <c r="L25" s="33" t="str">
        <f aca="false">IF(OR(I25="",I25&lt;=0),"",I25*F25*SETTINGS!$B$7/100)</f>
        <v/>
      </c>
    </row>
    <row r="26" customFormat="false" ht="19.5" hidden="false" customHeight="true" outlineLevel="0" collapsed="false">
      <c r="A26" s="6" t="s">
        <v>99</v>
      </c>
      <c r="B26" s="29"/>
      <c r="C26" s="30"/>
      <c r="D26" s="30"/>
      <c r="E26" s="6"/>
      <c r="F26" s="31"/>
      <c r="G26" s="32"/>
      <c r="H26" s="33" t="str">
        <f aca="false">IF(OR(E26="",F26=""),"",IFERROR(INDEX('COST TABLE'!$C$4:$T$200,MATCH(E26,'COST TABLE'!$A$4:$A$200,0),MATCH(LARGE(IF(N1:AE1&lt;=F26,N1:AE1),1),N1:AE1,0)),"⚠ NOT FOUND"))</f>
        <v/>
      </c>
      <c r="I26" s="33" t="str">
        <f aca="false">IF(OR(G26="",H26=""),"",G26-H26)</f>
        <v/>
      </c>
      <c r="J26" s="34" t="str">
        <f aca="false">IF(OR(G26="",H26=""),"",IF(G26=0,0,(G26-H26)/G26))</f>
        <v/>
      </c>
      <c r="K26" s="35" t="str">
        <f aca="false">IF(OR(G26="",H26=""),"",IF(H26="⚠ NOT FOUND","⚠ CHECK PRODUCT",IF((G26-H26)/G26&lt;SETTINGS!$B$5/100,"❌ DISAPPROVED",IF((G26-H26)/G26&lt;SETTINGS!$B$6/100,"⚠ LOW MARGIN","✅ APPROVED"))))</f>
        <v/>
      </c>
      <c r="L26" s="33" t="str">
        <f aca="false">IF(OR(I26="",I26&lt;=0),"",I26*F26*SETTINGS!$B$7/100)</f>
        <v/>
      </c>
    </row>
    <row r="27" customFormat="false" ht="19.5" hidden="false" customHeight="true" outlineLevel="0" collapsed="false">
      <c r="A27" s="6" t="s">
        <v>100</v>
      </c>
      <c r="B27" s="29"/>
      <c r="C27" s="30"/>
      <c r="D27" s="30"/>
      <c r="E27" s="6"/>
      <c r="F27" s="31"/>
      <c r="G27" s="32"/>
      <c r="H27" s="33" t="str">
        <f aca="false">IF(OR(E27="",F27=""),"",IFERROR(INDEX('COST TABLE'!$C$4:$T$200,MATCH(E27,'COST TABLE'!$A$4:$A$200,0),MATCH(LARGE(IF(N1:AE1&lt;=F27,N1:AE1),1),N1:AE1,0)),"⚠ NOT FOUND"))</f>
        <v/>
      </c>
      <c r="I27" s="33" t="str">
        <f aca="false">IF(OR(G27="",H27=""),"",G27-H27)</f>
        <v/>
      </c>
      <c r="J27" s="34" t="str">
        <f aca="false">IF(OR(G27="",H27=""),"",IF(G27=0,0,(G27-H27)/G27))</f>
        <v/>
      </c>
      <c r="K27" s="35" t="str">
        <f aca="false">IF(OR(G27="",H27=""),"",IF(H27="⚠ NOT FOUND","⚠ CHECK PRODUCT",IF((G27-H27)/G27&lt;SETTINGS!$B$5/100,"❌ DISAPPROVED",IF((G27-H27)/G27&lt;SETTINGS!$B$6/100,"⚠ LOW MARGIN","✅ APPROVED"))))</f>
        <v/>
      </c>
      <c r="L27" s="33" t="str">
        <f aca="false">IF(OR(I27="",I27&lt;=0),"",I27*F27*SETTINGS!$B$7/100)</f>
        <v/>
      </c>
    </row>
    <row r="28" customFormat="false" ht="19.5" hidden="false" customHeight="true" outlineLevel="0" collapsed="false">
      <c r="A28" s="6" t="s">
        <v>101</v>
      </c>
      <c r="B28" s="29"/>
      <c r="C28" s="30"/>
      <c r="D28" s="30"/>
      <c r="E28" s="6"/>
      <c r="F28" s="31"/>
      <c r="G28" s="32"/>
      <c r="H28" s="33" t="str">
        <f aca="false">IF(OR(E28="",F28=""),"",IFERROR(INDEX('COST TABLE'!$C$4:$T$200,MATCH(E28,'COST TABLE'!$A$4:$A$200,0),MATCH(LARGE(IF(N1:AE1&lt;=F28,N1:AE1),1),N1:AE1,0)),"⚠ NOT FOUND"))</f>
        <v/>
      </c>
      <c r="I28" s="33" t="str">
        <f aca="false">IF(OR(G28="",H28=""),"",G28-H28)</f>
        <v/>
      </c>
      <c r="J28" s="34" t="str">
        <f aca="false">IF(OR(G28="",H28=""),"",IF(G28=0,0,(G28-H28)/G28))</f>
        <v/>
      </c>
      <c r="K28" s="35" t="str">
        <f aca="false">IF(OR(G28="",H28=""),"",IF(H28="⚠ NOT FOUND","⚠ CHECK PRODUCT",IF((G28-H28)/G28&lt;SETTINGS!$B$5/100,"❌ DISAPPROVED",IF((G28-H28)/G28&lt;SETTINGS!$B$6/100,"⚠ LOW MARGIN","✅ APPROVED"))))</f>
        <v/>
      </c>
      <c r="L28" s="33" t="str">
        <f aca="false">IF(OR(I28="",I28&lt;=0),"",I28*F28*SETTINGS!$B$7/100)</f>
        <v/>
      </c>
    </row>
    <row r="29" customFormat="false" ht="19.5" hidden="false" customHeight="true" outlineLevel="0" collapsed="false">
      <c r="A29" s="6" t="s">
        <v>102</v>
      </c>
      <c r="B29" s="29"/>
      <c r="C29" s="30"/>
      <c r="D29" s="30"/>
      <c r="E29" s="6"/>
      <c r="F29" s="31"/>
      <c r="G29" s="32"/>
      <c r="H29" s="33" t="str">
        <f aca="false">IF(OR(E29="",F29=""),"",IFERROR(INDEX('COST TABLE'!$C$4:$T$200,MATCH(E29,'COST TABLE'!$A$4:$A$200,0),MATCH(LARGE(IF(N1:AE1&lt;=F29,N1:AE1),1),N1:AE1,0)),"⚠ NOT FOUND"))</f>
        <v/>
      </c>
      <c r="I29" s="33" t="str">
        <f aca="false">IF(OR(G29="",H29=""),"",G29-H29)</f>
        <v/>
      </c>
      <c r="J29" s="34" t="str">
        <f aca="false">IF(OR(G29="",H29=""),"",IF(G29=0,0,(G29-H29)/G29))</f>
        <v/>
      </c>
      <c r="K29" s="35" t="str">
        <f aca="false">IF(OR(G29="",H29=""),"",IF(H29="⚠ NOT FOUND","⚠ CHECK PRODUCT",IF((G29-H29)/G29&lt;SETTINGS!$B$5/100,"❌ DISAPPROVED",IF((G29-H29)/G29&lt;SETTINGS!$B$6/100,"⚠ LOW MARGIN","✅ APPROVED"))))</f>
        <v/>
      </c>
      <c r="L29" s="33" t="str">
        <f aca="false">IF(OR(I29="",I29&lt;=0),"",I29*F29*SETTINGS!$B$7/100)</f>
        <v/>
      </c>
    </row>
    <row r="30" customFormat="false" ht="19.5" hidden="false" customHeight="true" outlineLevel="0" collapsed="false">
      <c r="A30" s="6" t="s">
        <v>103</v>
      </c>
      <c r="B30" s="29"/>
      <c r="C30" s="30"/>
      <c r="D30" s="30"/>
      <c r="E30" s="6"/>
      <c r="F30" s="31"/>
      <c r="G30" s="32"/>
      <c r="H30" s="33" t="str">
        <f aca="false">IF(OR(E30="",F30=""),"",IFERROR(INDEX('COST TABLE'!$C$4:$T$200,MATCH(E30,'COST TABLE'!$A$4:$A$200,0),MATCH(LARGE(IF(N1:AE1&lt;=F30,N1:AE1),1),N1:AE1,0)),"⚠ NOT FOUND"))</f>
        <v/>
      </c>
      <c r="I30" s="33" t="str">
        <f aca="false">IF(OR(G30="",H30=""),"",G30-H30)</f>
        <v/>
      </c>
      <c r="J30" s="34" t="str">
        <f aca="false">IF(OR(G30="",H30=""),"",IF(G30=0,0,(G30-H30)/G30))</f>
        <v/>
      </c>
      <c r="K30" s="35" t="str">
        <f aca="false">IF(OR(G30="",H30=""),"",IF(H30="⚠ NOT FOUND","⚠ CHECK PRODUCT",IF((G30-H30)/G30&lt;SETTINGS!$B$5/100,"❌ DISAPPROVED",IF((G30-H30)/G30&lt;SETTINGS!$B$6/100,"⚠ LOW MARGIN","✅ APPROVED"))))</f>
        <v/>
      </c>
      <c r="L30" s="33" t="str">
        <f aca="false">IF(OR(I30="",I30&lt;=0),"",I30*F30*SETTINGS!$B$7/100)</f>
        <v/>
      </c>
    </row>
    <row r="31" customFormat="false" ht="19.5" hidden="false" customHeight="true" outlineLevel="0" collapsed="false">
      <c r="A31" s="6" t="s">
        <v>104</v>
      </c>
      <c r="B31" s="29"/>
      <c r="C31" s="30"/>
      <c r="D31" s="30"/>
      <c r="E31" s="6"/>
      <c r="F31" s="31"/>
      <c r="G31" s="32"/>
      <c r="H31" s="33" t="str">
        <f aca="false">IF(OR(E31="",F31=""),"",IFERROR(INDEX('COST TABLE'!$C$4:$T$200,MATCH(E31,'COST TABLE'!$A$4:$A$200,0),MATCH(LARGE(IF(N1:AE1&lt;=F31,N1:AE1),1),N1:AE1,0)),"⚠ NOT FOUND"))</f>
        <v/>
      </c>
      <c r="I31" s="33" t="str">
        <f aca="false">IF(OR(G31="",H31=""),"",G31-H31)</f>
        <v/>
      </c>
      <c r="J31" s="34" t="str">
        <f aca="false">IF(OR(G31="",H31=""),"",IF(G31=0,0,(G31-H31)/G31))</f>
        <v/>
      </c>
      <c r="K31" s="35" t="str">
        <f aca="false">IF(OR(G31="",H31=""),"",IF(H31="⚠ NOT FOUND","⚠ CHECK PRODUCT",IF((G31-H31)/G31&lt;SETTINGS!$B$5/100,"❌ DISAPPROVED",IF((G31-H31)/G31&lt;SETTINGS!$B$6/100,"⚠ LOW MARGIN","✅ APPROVED"))))</f>
        <v/>
      </c>
      <c r="L31" s="33" t="str">
        <f aca="false">IF(OR(I31="",I31&lt;=0),"",I31*F31*SETTINGS!$B$7/100)</f>
        <v/>
      </c>
    </row>
    <row r="32" customFormat="false" ht="19.5" hidden="false" customHeight="true" outlineLevel="0" collapsed="false">
      <c r="A32" s="6" t="s">
        <v>105</v>
      </c>
      <c r="B32" s="29"/>
      <c r="C32" s="30"/>
      <c r="D32" s="30"/>
      <c r="E32" s="6"/>
      <c r="F32" s="31"/>
      <c r="G32" s="32"/>
      <c r="H32" s="33" t="str">
        <f aca="false">IF(OR(E32="",F32=""),"",IFERROR(INDEX('COST TABLE'!$C$4:$T$200,MATCH(E32,'COST TABLE'!$A$4:$A$200,0),MATCH(LARGE(IF(N1:AE1&lt;=F32,N1:AE1),1),N1:AE1,0)),"⚠ NOT FOUND"))</f>
        <v/>
      </c>
      <c r="I32" s="33" t="str">
        <f aca="false">IF(OR(G32="",H32=""),"",G32-H32)</f>
        <v/>
      </c>
      <c r="J32" s="34" t="str">
        <f aca="false">IF(OR(G32="",H32=""),"",IF(G32=0,0,(G32-H32)/G32))</f>
        <v/>
      </c>
      <c r="K32" s="35" t="str">
        <f aca="false">IF(OR(G32="",H32=""),"",IF(H32="⚠ NOT FOUND","⚠ CHECK PRODUCT",IF((G32-H32)/G32&lt;SETTINGS!$B$5/100,"❌ DISAPPROVED",IF((G32-H32)/G32&lt;SETTINGS!$B$6/100,"⚠ LOW MARGIN","✅ APPROVED"))))</f>
        <v/>
      </c>
      <c r="L32" s="33" t="str">
        <f aca="false">IF(OR(I32="",I32&lt;=0),"",I32*F32*SETTINGS!$B$7/100)</f>
        <v/>
      </c>
    </row>
    <row r="33" customFormat="false" ht="19.5" hidden="false" customHeight="true" outlineLevel="0" collapsed="false">
      <c r="A33" s="6" t="s">
        <v>106</v>
      </c>
      <c r="B33" s="29"/>
      <c r="C33" s="30"/>
      <c r="D33" s="30"/>
      <c r="E33" s="6"/>
      <c r="F33" s="31"/>
      <c r="G33" s="32"/>
      <c r="H33" s="33" t="str">
        <f aca="false">IF(OR(E33="",F33=""),"",IFERROR(INDEX('COST TABLE'!$C$4:$T$200,MATCH(E33,'COST TABLE'!$A$4:$A$200,0),MATCH(LARGE(IF(N1:AE1&lt;=F33,N1:AE1),1),N1:AE1,0)),"⚠ NOT FOUND"))</f>
        <v/>
      </c>
      <c r="I33" s="33" t="str">
        <f aca="false">IF(OR(G33="",H33=""),"",G33-H33)</f>
        <v/>
      </c>
      <c r="J33" s="34" t="str">
        <f aca="false">IF(OR(G33="",H33=""),"",IF(G33=0,0,(G33-H33)/G33))</f>
        <v/>
      </c>
      <c r="K33" s="35" t="str">
        <f aca="false">IF(OR(G33="",H33=""),"",IF(H33="⚠ NOT FOUND","⚠ CHECK PRODUCT",IF((G33-H33)/G33&lt;SETTINGS!$B$5/100,"❌ DISAPPROVED",IF((G33-H33)/G33&lt;SETTINGS!$B$6/100,"⚠ LOW MARGIN","✅ APPROVED"))))</f>
        <v/>
      </c>
      <c r="L33" s="33" t="str">
        <f aca="false">IF(OR(I33="",I33&lt;=0),"",I33*F33*SETTINGS!$B$7/100)</f>
        <v/>
      </c>
    </row>
    <row r="34" customFormat="false" ht="19.5" hidden="false" customHeight="true" outlineLevel="0" collapsed="false">
      <c r="A34" s="6" t="s">
        <v>107</v>
      </c>
      <c r="B34" s="29"/>
      <c r="C34" s="30"/>
      <c r="D34" s="30"/>
      <c r="E34" s="6"/>
      <c r="F34" s="31"/>
      <c r="G34" s="32"/>
      <c r="H34" s="33" t="str">
        <f aca="false">IF(OR(E34="",F34=""),"",IFERROR(INDEX('COST TABLE'!$C$4:$T$200,MATCH(E34,'COST TABLE'!$A$4:$A$200,0),MATCH(LARGE(IF(N1:AE1&lt;=F34,N1:AE1),1),N1:AE1,0)),"⚠ NOT FOUND"))</f>
        <v/>
      </c>
      <c r="I34" s="33" t="str">
        <f aca="false">IF(OR(G34="",H34=""),"",G34-H34)</f>
        <v/>
      </c>
      <c r="J34" s="34" t="str">
        <f aca="false">IF(OR(G34="",H34=""),"",IF(G34=0,0,(G34-H34)/G34))</f>
        <v/>
      </c>
      <c r="K34" s="35" t="str">
        <f aca="false">IF(OR(G34="",H34=""),"",IF(H34="⚠ NOT FOUND","⚠ CHECK PRODUCT",IF((G34-H34)/G34&lt;SETTINGS!$B$5/100,"❌ DISAPPROVED",IF((G34-H34)/G34&lt;SETTINGS!$B$6/100,"⚠ LOW MARGIN","✅ APPROVED"))))</f>
        <v/>
      </c>
      <c r="L34" s="33" t="str">
        <f aca="false">IF(OR(I34="",I34&lt;=0),"",I34*F34*SETTINGS!$B$7/100)</f>
        <v/>
      </c>
    </row>
    <row r="35" customFormat="false" ht="19.5" hidden="false" customHeight="true" outlineLevel="0" collapsed="false">
      <c r="A35" s="6" t="s">
        <v>108</v>
      </c>
      <c r="B35" s="29"/>
      <c r="C35" s="30"/>
      <c r="D35" s="30"/>
      <c r="E35" s="6"/>
      <c r="F35" s="31"/>
      <c r="G35" s="32"/>
      <c r="H35" s="33" t="str">
        <f aca="false">IF(OR(E35="",F35=""),"",IFERROR(INDEX('COST TABLE'!$C$4:$T$200,MATCH(E35,'COST TABLE'!$A$4:$A$200,0),MATCH(LARGE(IF(N1:AE1&lt;=F35,N1:AE1),1),N1:AE1,0)),"⚠ NOT FOUND"))</f>
        <v/>
      </c>
      <c r="I35" s="33" t="str">
        <f aca="false">IF(OR(G35="",H35=""),"",G35-H35)</f>
        <v/>
      </c>
      <c r="J35" s="34" t="str">
        <f aca="false">IF(OR(G35="",H35=""),"",IF(G35=0,0,(G35-H35)/G35))</f>
        <v/>
      </c>
      <c r="K35" s="35" t="str">
        <f aca="false">IF(OR(G35="",H35=""),"",IF(H35="⚠ NOT FOUND","⚠ CHECK PRODUCT",IF((G35-H35)/G35&lt;SETTINGS!$B$5/100,"❌ DISAPPROVED",IF((G35-H35)/G35&lt;SETTINGS!$B$6/100,"⚠ LOW MARGIN","✅ APPROVED"))))</f>
        <v/>
      </c>
      <c r="L35" s="33" t="str">
        <f aca="false">IF(OR(I35="",I35&lt;=0),"",I35*F35*SETTINGS!$B$7/100)</f>
        <v/>
      </c>
    </row>
    <row r="36" customFormat="false" ht="19.5" hidden="false" customHeight="true" outlineLevel="0" collapsed="false">
      <c r="A36" s="6" t="s">
        <v>109</v>
      </c>
      <c r="B36" s="29"/>
      <c r="C36" s="30"/>
      <c r="D36" s="30"/>
      <c r="E36" s="6"/>
      <c r="F36" s="31"/>
      <c r="G36" s="32"/>
      <c r="H36" s="33" t="str">
        <f aca="false">IF(OR(E36="",F36=""),"",IFERROR(INDEX('COST TABLE'!$C$4:$T$200,MATCH(E36,'COST TABLE'!$A$4:$A$200,0),MATCH(LARGE(IF(N1:AE1&lt;=F36,N1:AE1),1),N1:AE1,0)),"⚠ NOT FOUND"))</f>
        <v/>
      </c>
      <c r="I36" s="33" t="str">
        <f aca="false">IF(OR(G36="",H36=""),"",G36-H36)</f>
        <v/>
      </c>
      <c r="J36" s="34" t="str">
        <f aca="false">IF(OR(G36="",H36=""),"",IF(G36=0,0,(G36-H36)/G36))</f>
        <v/>
      </c>
      <c r="K36" s="35" t="str">
        <f aca="false">IF(OR(G36="",H36=""),"",IF(H36="⚠ NOT FOUND","⚠ CHECK PRODUCT",IF((G36-H36)/G36&lt;SETTINGS!$B$5/100,"❌ DISAPPROVED",IF((G36-H36)/G36&lt;SETTINGS!$B$6/100,"⚠ LOW MARGIN","✅ APPROVED"))))</f>
        <v/>
      </c>
      <c r="L36" s="33" t="str">
        <f aca="false">IF(OR(I36="",I36&lt;=0),"",I36*F36*SETTINGS!$B$7/100)</f>
        <v/>
      </c>
    </row>
    <row r="37" customFormat="false" ht="19.5" hidden="false" customHeight="true" outlineLevel="0" collapsed="false">
      <c r="A37" s="6" t="s">
        <v>110</v>
      </c>
      <c r="B37" s="29"/>
      <c r="C37" s="30"/>
      <c r="D37" s="30"/>
      <c r="E37" s="6"/>
      <c r="F37" s="31"/>
      <c r="G37" s="32"/>
      <c r="H37" s="33" t="str">
        <f aca="false">IF(OR(E37="",F37=""),"",IFERROR(INDEX('COST TABLE'!$C$4:$T$200,MATCH(E37,'COST TABLE'!$A$4:$A$200,0),MATCH(LARGE(IF(N1:AE1&lt;=F37,N1:AE1),1),N1:AE1,0)),"⚠ NOT FOUND"))</f>
        <v/>
      </c>
      <c r="I37" s="33" t="str">
        <f aca="false">IF(OR(G37="",H37=""),"",G37-H37)</f>
        <v/>
      </c>
      <c r="J37" s="34" t="str">
        <f aca="false">IF(OR(G37="",H37=""),"",IF(G37=0,0,(G37-H37)/G37))</f>
        <v/>
      </c>
      <c r="K37" s="35" t="str">
        <f aca="false">IF(OR(G37="",H37=""),"",IF(H37="⚠ NOT FOUND","⚠ CHECK PRODUCT",IF((G37-H37)/G37&lt;SETTINGS!$B$5/100,"❌ DISAPPROVED",IF((G37-H37)/G37&lt;SETTINGS!$B$6/100,"⚠ LOW MARGIN","✅ APPROVED"))))</f>
        <v/>
      </c>
      <c r="L37" s="33" t="str">
        <f aca="false">IF(OR(I37="",I37&lt;=0),"",I37*F37*SETTINGS!$B$7/100)</f>
        <v/>
      </c>
    </row>
    <row r="38" customFormat="false" ht="19.5" hidden="false" customHeight="true" outlineLevel="0" collapsed="false">
      <c r="A38" s="6" t="s">
        <v>111</v>
      </c>
      <c r="B38" s="29"/>
      <c r="C38" s="30"/>
      <c r="D38" s="30"/>
      <c r="E38" s="6"/>
      <c r="F38" s="31"/>
      <c r="G38" s="32"/>
      <c r="H38" s="33" t="str">
        <f aca="false">IF(OR(E38="",F38=""),"",IFERROR(INDEX('COST TABLE'!$C$4:$T$200,MATCH(E38,'COST TABLE'!$A$4:$A$200,0),MATCH(LARGE(IF(N1:AE1&lt;=F38,N1:AE1),1),N1:AE1,0)),"⚠ NOT FOUND"))</f>
        <v/>
      </c>
      <c r="I38" s="33" t="str">
        <f aca="false">IF(OR(G38="",H38=""),"",G38-H38)</f>
        <v/>
      </c>
      <c r="J38" s="34" t="str">
        <f aca="false">IF(OR(G38="",H38=""),"",IF(G38=0,0,(G38-H38)/G38))</f>
        <v/>
      </c>
      <c r="K38" s="35" t="str">
        <f aca="false">IF(OR(G38="",H38=""),"",IF(H38="⚠ NOT FOUND","⚠ CHECK PRODUCT",IF((G38-H38)/G38&lt;SETTINGS!$B$5/100,"❌ DISAPPROVED",IF((G38-H38)/G38&lt;SETTINGS!$B$6/100,"⚠ LOW MARGIN","✅ APPROVED"))))</f>
        <v/>
      </c>
      <c r="L38" s="33" t="str">
        <f aca="false">IF(OR(I38="",I38&lt;=0),"",I38*F38*SETTINGS!$B$7/100)</f>
        <v/>
      </c>
    </row>
    <row r="39" customFormat="false" ht="19.5" hidden="false" customHeight="true" outlineLevel="0" collapsed="false">
      <c r="A39" s="6" t="s">
        <v>112</v>
      </c>
      <c r="B39" s="29"/>
      <c r="C39" s="30"/>
      <c r="D39" s="30"/>
      <c r="E39" s="6"/>
      <c r="F39" s="31"/>
      <c r="G39" s="32"/>
      <c r="H39" s="33" t="str">
        <f aca="false">IF(OR(E39="",F39=""),"",IFERROR(INDEX('COST TABLE'!$C$4:$T$200,MATCH(E39,'COST TABLE'!$A$4:$A$200,0),MATCH(LARGE(IF(N1:AE1&lt;=F39,N1:AE1),1),N1:AE1,0)),"⚠ NOT FOUND"))</f>
        <v/>
      </c>
      <c r="I39" s="33" t="str">
        <f aca="false">IF(OR(G39="",H39=""),"",G39-H39)</f>
        <v/>
      </c>
      <c r="J39" s="34" t="str">
        <f aca="false">IF(OR(G39="",H39=""),"",IF(G39=0,0,(G39-H39)/G39))</f>
        <v/>
      </c>
      <c r="K39" s="35" t="str">
        <f aca="false">IF(OR(G39="",H39=""),"",IF(H39="⚠ NOT FOUND","⚠ CHECK PRODUCT",IF((G39-H39)/G39&lt;SETTINGS!$B$5/100,"❌ DISAPPROVED",IF((G39-H39)/G39&lt;SETTINGS!$B$6/100,"⚠ LOW MARGIN","✅ APPROVED"))))</f>
        <v/>
      </c>
      <c r="L39" s="33" t="str">
        <f aca="false">IF(OR(I39="",I39&lt;=0),"",I39*F39*SETTINGS!$B$7/100)</f>
        <v/>
      </c>
    </row>
    <row r="40" customFormat="false" ht="19.5" hidden="false" customHeight="true" outlineLevel="0" collapsed="false">
      <c r="A40" s="6" t="s">
        <v>113</v>
      </c>
      <c r="B40" s="29"/>
      <c r="C40" s="30"/>
      <c r="D40" s="30"/>
      <c r="E40" s="6"/>
      <c r="F40" s="31"/>
      <c r="G40" s="32"/>
      <c r="H40" s="33" t="str">
        <f aca="false">IF(OR(E40="",F40=""),"",IFERROR(INDEX('COST TABLE'!$C$4:$T$200,MATCH(E40,'COST TABLE'!$A$4:$A$200,0),MATCH(LARGE(IF(N1:AE1&lt;=F40,N1:AE1),1),N1:AE1,0)),"⚠ NOT FOUND"))</f>
        <v/>
      </c>
      <c r="I40" s="33" t="str">
        <f aca="false">IF(OR(G40="",H40=""),"",G40-H40)</f>
        <v/>
      </c>
      <c r="J40" s="34" t="str">
        <f aca="false">IF(OR(G40="",H40=""),"",IF(G40=0,0,(G40-H40)/G40))</f>
        <v/>
      </c>
      <c r="K40" s="35" t="str">
        <f aca="false">IF(OR(G40="",H40=""),"",IF(H40="⚠ NOT FOUND","⚠ CHECK PRODUCT",IF((G40-H40)/G40&lt;SETTINGS!$B$5/100,"❌ DISAPPROVED",IF((G40-H40)/G40&lt;SETTINGS!$B$6/100,"⚠ LOW MARGIN","✅ APPROVED"))))</f>
        <v/>
      </c>
      <c r="L40" s="33" t="str">
        <f aca="false">IF(OR(I40="",I40&lt;=0),"",I40*F40*SETTINGS!$B$7/100)</f>
        <v/>
      </c>
    </row>
    <row r="41" customFormat="false" ht="19.5" hidden="false" customHeight="true" outlineLevel="0" collapsed="false">
      <c r="A41" s="6" t="s">
        <v>114</v>
      </c>
      <c r="B41" s="29"/>
      <c r="C41" s="30"/>
      <c r="D41" s="30"/>
      <c r="E41" s="6"/>
      <c r="F41" s="31"/>
      <c r="G41" s="32"/>
      <c r="H41" s="33" t="str">
        <f aca="false">IF(OR(E41="",F41=""),"",IFERROR(INDEX('COST TABLE'!$C$4:$T$200,MATCH(E41,'COST TABLE'!$A$4:$A$200,0),MATCH(LARGE(IF(N1:AE1&lt;=F41,N1:AE1),1),N1:AE1,0)),"⚠ NOT FOUND"))</f>
        <v/>
      </c>
      <c r="I41" s="33" t="str">
        <f aca="false">IF(OR(G41="",H41=""),"",G41-H41)</f>
        <v/>
      </c>
      <c r="J41" s="34" t="str">
        <f aca="false">IF(OR(G41="",H41=""),"",IF(G41=0,0,(G41-H41)/G41))</f>
        <v/>
      </c>
      <c r="K41" s="35" t="str">
        <f aca="false">IF(OR(G41="",H41=""),"",IF(H41="⚠ NOT FOUND","⚠ CHECK PRODUCT",IF((G41-H41)/G41&lt;SETTINGS!$B$5/100,"❌ DISAPPROVED",IF((G41-H41)/G41&lt;SETTINGS!$B$6/100,"⚠ LOW MARGIN","✅ APPROVED"))))</f>
        <v/>
      </c>
      <c r="L41" s="33" t="str">
        <f aca="false">IF(OR(I41="",I41&lt;=0),"",I41*F41*SETTINGS!$B$7/100)</f>
        <v/>
      </c>
    </row>
    <row r="42" customFormat="false" ht="19.5" hidden="false" customHeight="true" outlineLevel="0" collapsed="false">
      <c r="A42" s="6" t="s">
        <v>115</v>
      </c>
      <c r="B42" s="29"/>
      <c r="C42" s="30"/>
      <c r="D42" s="30"/>
      <c r="E42" s="6"/>
      <c r="F42" s="31"/>
      <c r="G42" s="32"/>
      <c r="H42" s="33" t="str">
        <f aca="false">IF(OR(E42="",F42=""),"",IFERROR(INDEX('COST TABLE'!$C$4:$T$200,MATCH(E42,'COST TABLE'!$A$4:$A$200,0),MATCH(LARGE(IF(N1:AE1&lt;=F42,N1:AE1),1),N1:AE1,0)),"⚠ NOT FOUND"))</f>
        <v/>
      </c>
      <c r="I42" s="33" t="str">
        <f aca="false">IF(OR(G42="",H42=""),"",G42-H42)</f>
        <v/>
      </c>
      <c r="J42" s="34" t="str">
        <f aca="false">IF(OR(G42="",H42=""),"",IF(G42=0,0,(G42-H42)/G42))</f>
        <v/>
      </c>
      <c r="K42" s="35" t="str">
        <f aca="false">IF(OR(G42="",H42=""),"",IF(H42="⚠ NOT FOUND","⚠ CHECK PRODUCT",IF((G42-H42)/G42&lt;SETTINGS!$B$5/100,"❌ DISAPPROVED",IF((G42-H42)/G42&lt;SETTINGS!$B$6/100,"⚠ LOW MARGIN","✅ APPROVED"))))</f>
        <v/>
      </c>
      <c r="L42" s="33" t="str">
        <f aca="false">IF(OR(I42="",I42&lt;=0),"",I42*F42*SETTINGS!$B$7/100)</f>
        <v/>
      </c>
    </row>
    <row r="43" customFormat="false" ht="19.5" hidden="false" customHeight="true" outlineLevel="0" collapsed="false">
      <c r="A43" s="6" t="s">
        <v>116</v>
      </c>
      <c r="B43" s="29"/>
      <c r="C43" s="30"/>
      <c r="D43" s="30"/>
      <c r="E43" s="6"/>
      <c r="F43" s="31"/>
      <c r="G43" s="32"/>
      <c r="H43" s="33" t="str">
        <f aca="false">IF(OR(E43="",F43=""),"",IFERROR(INDEX('COST TABLE'!$C$4:$T$200,MATCH(E43,'COST TABLE'!$A$4:$A$200,0),MATCH(LARGE(IF(N1:AE1&lt;=F43,N1:AE1),1),N1:AE1,0)),"⚠ NOT FOUND"))</f>
        <v/>
      </c>
      <c r="I43" s="33" t="str">
        <f aca="false">IF(OR(G43="",H43=""),"",G43-H43)</f>
        <v/>
      </c>
      <c r="J43" s="34" t="str">
        <f aca="false">IF(OR(G43="",H43=""),"",IF(G43=0,0,(G43-H43)/G43))</f>
        <v/>
      </c>
      <c r="K43" s="35" t="str">
        <f aca="false">IF(OR(G43="",H43=""),"",IF(H43="⚠ NOT FOUND","⚠ CHECK PRODUCT",IF((G43-H43)/G43&lt;SETTINGS!$B$5/100,"❌ DISAPPROVED",IF((G43-H43)/G43&lt;SETTINGS!$B$6/100,"⚠ LOW MARGIN","✅ APPROVED"))))</f>
        <v/>
      </c>
      <c r="L43" s="33" t="str">
        <f aca="false">IF(OR(I43="",I43&lt;=0),"",I43*F43*SETTINGS!$B$7/100)</f>
        <v/>
      </c>
    </row>
    <row r="44" customFormat="false" ht="19.5" hidden="false" customHeight="true" outlineLevel="0" collapsed="false">
      <c r="A44" s="6" t="s">
        <v>117</v>
      </c>
      <c r="B44" s="29"/>
      <c r="C44" s="30"/>
      <c r="D44" s="30"/>
      <c r="E44" s="6"/>
      <c r="F44" s="31"/>
      <c r="G44" s="32"/>
      <c r="H44" s="33" t="str">
        <f aca="false">IF(OR(E44="",F44=""),"",IFERROR(INDEX('COST TABLE'!$C$4:$T$200,MATCH(E44,'COST TABLE'!$A$4:$A$200,0),MATCH(LARGE(IF(N1:AE1&lt;=F44,N1:AE1),1),N1:AE1,0)),"⚠ NOT FOUND"))</f>
        <v/>
      </c>
      <c r="I44" s="33" t="str">
        <f aca="false">IF(OR(G44="",H44=""),"",G44-H44)</f>
        <v/>
      </c>
      <c r="J44" s="34" t="str">
        <f aca="false">IF(OR(G44="",H44=""),"",IF(G44=0,0,(G44-H44)/G44))</f>
        <v/>
      </c>
      <c r="K44" s="35" t="str">
        <f aca="false">IF(OR(G44="",H44=""),"",IF(H44="⚠ NOT FOUND","⚠ CHECK PRODUCT",IF((G44-H44)/G44&lt;SETTINGS!$B$5/100,"❌ DISAPPROVED",IF((G44-H44)/G44&lt;SETTINGS!$B$6/100,"⚠ LOW MARGIN","✅ APPROVED"))))</f>
        <v/>
      </c>
      <c r="L44" s="33" t="str">
        <f aca="false">IF(OR(I44="",I44&lt;=0),"",I44*F44*SETTINGS!$B$7/100)</f>
        <v/>
      </c>
    </row>
    <row r="45" customFormat="false" ht="19.5" hidden="false" customHeight="true" outlineLevel="0" collapsed="false">
      <c r="A45" s="6" t="s">
        <v>118</v>
      </c>
      <c r="B45" s="29"/>
      <c r="C45" s="30"/>
      <c r="D45" s="30"/>
      <c r="E45" s="6"/>
      <c r="F45" s="31"/>
      <c r="G45" s="32"/>
      <c r="H45" s="33" t="str">
        <f aca="false">IF(OR(E45="",F45=""),"",IFERROR(INDEX('COST TABLE'!$C$4:$T$200,MATCH(E45,'COST TABLE'!$A$4:$A$200,0),MATCH(LARGE(IF(N1:AE1&lt;=F45,N1:AE1),1),N1:AE1,0)),"⚠ NOT FOUND"))</f>
        <v/>
      </c>
      <c r="I45" s="33" t="str">
        <f aca="false">IF(OR(G45="",H45=""),"",G45-H45)</f>
        <v/>
      </c>
      <c r="J45" s="34" t="str">
        <f aca="false">IF(OR(G45="",H45=""),"",IF(G45=0,0,(G45-H45)/G45))</f>
        <v/>
      </c>
      <c r="K45" s="35" t="str">
        <f aca="false">IF(OR(G45="",H45=""),"",IF(H45="⚠ NOT FOUND","⚠ CHECK PRODUCT",IF((G45-H45)/G45&lt;SETTINGS!$B$5/100,"❌ DISAPPROVED",IF((G45-H45)/G45&lt;SETTINGS!$B$6/100,"⚠ LOW MARGIN","✅ APPROVED"))))</f>
        <v/>
      </c>
      <c r="L45" s="33" t="str">
        <f aca="false">IF(OR(I45="",I45&lt;=0),"",I45*F45*SETTINGS!$B$7/100)</f>
        <v/>
      </c>
    </row>
    <row r="46" customFormat="false" ht="19.5" hidden="false" customHeight="true" outlineLevel="0" collapsed="false">
      <c r="A46" s="6" t="s">
        <v>119</v>
      </c>
      <c r="B46" s="29"/>
      <c r="C46" s="30"/>
      <c r="D46" s="30"/>
      <c r="E46" s="6"/>
      <c r="F46" s="31"/>
      <c r="G46" s="32"/>
      <c r="H46" s="33" t="str">
        <f aca="false">IF(OR(E46="",F46=""),"",IFERROR(INDEX('COST TABLE'!$C$4:$T$200,MATCH(E46,'COST TABLE'!$A$4:$A$200,0),MATCH(LARGE(IF(N1:AE1&lt;=F46,N1:AE1),1),N1:AE1,0)),"⚠ NOT FOUND"))</f>
        <v/>
      </c>
      <c r="I46" s="33" t="str">
        <f aca="false">IF(OR(G46="",H46=""),"",G46-H46)</f>
        <v/>
      </c>
      <c r="J46" s="34" t="str">
        <f aca="false">IF(OR(G46="",H46=""),"",IF(G46=0,0,(G46-H46)/G46))</f>
        <v/>
      </c>
      <c r="K46" s="35" t="str">
        <f aca="false">IF(OR(G46="",H46=""),"",IF(H46="⚠ NOT FOUND","⚠ CHECK PRODUCT",IF((G46-H46)/G46&lt;SETTINGS!$B$5/100,"❌ DISAPPROVED",IF((G46-H46)/G46&lt;SETTINGS!$B$6/100,"⚠ LOW MARGIN","✅ APPROVED"))))</f>
        <v/>
      </c>
      <c r="L46" s="33" t="str">
        <f aca="false">IF(OR(I46="",I46&lt;=0),"",I46*F46*SETTINGS!$B$7/100)</f>
        <v/>
      </c>
    </row>
    <row r="47" customFormat="false" ht="19.5" hidden="false" customHeight="true" outlineLevel="0" collapsed="false">
      <c r="A47" s="6" t="s">
        <v>120</v>
      </c>
      <c r="B47" s="29"/>
      <c r="C47" s="30"/>
      <c r="D47" s="30"/>
      <c r="E47" s="6"/>
      <c r="F47" s="31"/>
      <c r="G47" s="32"/>
      <c r="H47" s="33" t="str">
        <f aca="false">IF(OR(E47="",F47=""),"",IFERROR(INDEX('COST TABLE'!$C$4:$T$200,MATCH(E47,'COST TABLE'!$A$4:$A$200,0),MATCH(LARGE(IF(N1:AE1&lt;=F47,N1:AE1),1),N1:AE1,0)),"⚠ NOT FOUND"))</f>
        <v/>
      </c>
      <c r="I47" s="33" t="str">
        <f aca="false">IF(OR(G47="",H47=""),"",G47-H47)</f>
        <v/>
      </c>
      <c r="J47" s="34" t="str">
        <f aca="false">IF(OR(G47="",H47=""),"",IF(G47=0,0,(G47-H47)/G47))</f>
        <v/>
      </c>
      <c r="K47" s="35" t="str">
        <f aca="false">IF(OR(G47="",H47=""),"",IF(H47="⚠ NOT FOUND","⚠ CHECK PRODUCT",IF((G47-H47)/G47&lt;SETTINGS!$B$5/100,"❌ DISAPPROVED",IF((G47-H47)/G47&lt;SETTINGS!$B$6/100,"⚠ LOW MARGIN","✅ APPROVED"))))</f>
        <v/>
      </c>
      <c r="L47" s="33" t="str">
        <f aca="false">IF(OR(I47="",I47&lt;=0),"",I47*F47*SETTINGS!$B$7/100)</f>
        <v/>
      </c>
    </row>
    <row r="48" customFormat="false" ht="19.5" hidden="false" customHeight="true" outlineLevel="0" collapsed="false">
      <c r="A48" s="6" t="s">
        <v>121</v>
      </c>
      <c r="B48" s="29"/>
      <c r="C48" s="30"/>
      <c r="D48" s="30"/>
      <c r="E48" s="6"/>
      <c r="F48" s="31"/>
      <c r="G48" s="32"/>
      <c r="H48" s="33" t="str">
        <f aca="false">IF(OR(E48="",F48=""),"",IFERROR(INDEX('COST TABLE'!$C$4:$T$200,MATCH(E48,'COST TABLE'!$A$4:$A$200,0),MATCH(LARGE(IF(N1:AE1&lt;=F48,N1:AE1),1),N1:AE1,0)),"⚠ NOT FOUND"))</f>
        <v/>
      </c>
      <c r="I48" s="33" t="str">
        <f aca="false">IF(OR(G48="",H48=""),"",G48-H48)</f>
        <v/>
      </c>
      <c r="J48" s="34" t="str">
        <f aca="false">IF(OR(G48="",H48=""),"",IF(G48=0,0,(G48-H48)/G48))</f>
        <v/>
      </c>
      <c r="K48" s="35" t="str">
        <f aca="false">IF(OR(G48="",H48=""),"",IF(H48="⚠ NOT FOUND","⚠ CHECK PRODUCT",IF((G48-H48)/G48&lt;SETTINGS!$B$5/100,"❌ DISAPPROVED",IF((G48-H48)/G48&lt;SETTINGS!$B$6/100,"⚠ LOW MARGIN","✅ APPROVED"))))</f>
        <v/>
      </c>
      <c r="L48" s="33" t="str">
        <f aca="false">IF(OR(I48="",I48&lt;=0),"",I48*F48*SETTINGS!$B$7/100)</f>
        <v/>
      </c>
    </row>
    <row r="49" customFormat="false" ht="19.5" hidden="false" customHeight="true" outlineLevel="0" collapsed="false">
      <c r="A49" s="6" t="s">
        <v>122</v>
      </c>
      <c r="B49" s="29"/>
      <c r="C49" s="30"/>
      <c r="D49" s="30"/>
      <c r="E49" s="6"/>
      <c r="F49" s="31"/>
      <c r="G49" s="32"/>
      <c r="H49" s="33" t="str">
        <f aca="false">IF(OR(E49="",F49=""),"",IFERROR(INDEX('COST TABLE'!$C$4:$T$200,MATCH(E49,'COST TABLE'!$A$4:$A$200,0),MATCH(LARGE(IF(N1:AE1&lt;=F49,N1:AE1),1),N1:AE1,0)),"⚠ NOT FOUND"))</f>
        <v/>
      </c>
      <c r="I49" s="33" t="str">
        <f aca="false">IF(OR(G49="",H49=""),"",G49-H49)</f>
        <v/>
      </c>
      <c r="J49" s="34" t="str">
        <f aca="false">IF(OR(G49="",H49=""),"",IF(G49=0,0,(G49-H49)/G49))</f>
        <v/>
      </c>
      <c r="K49" s="35" t="str">
        <f aca="false">IF(OR(G49="",H49=""),"",IF(H49="⚠ NOT FOUND","⚠ CHECK PRODUCT",IF((G49-H49)/G49&lt;SETTINGS!$B$5/100,"❌ DISAPPROVED",IF((G49-H49)/G49&lt;SETTINGS!$B$6/100,"⚠ LOW MARGIN","✅ APPROVED"))))</f>
        <v/>
      </c>
      <c r="L49" s="33" t="str">
        <f aca="false">IF(OR(I49="",I49&lt;=0),"",I49*F49*SETTINGS!$B$7/100)</f>
        <v/>
      </c>
    </row>
    <row r="50" customFormat="false" ht="19.5" hidden="false" customHeight="true" outlineLevel="0" collapsed="false">
      <c r="A50" s="6" t="s">
        <v>123</v>
      </c>
      <c r="B50" s="29"/>
      <c r="C50" s="30"/>
      <c r="D50" s="30"/>
      <c r="E50" s="6"/>
      <c r="F50" s="31"/>
      <c r="G50" s="32"/>
      <c r="H50" s="33" t="str">
        <f aca="false">IF(OR(E50="",F50=""),"",IFERROR(INDEX('COST TABLE'!$C$4:$T$200,MATCH(E50,'COST TABLE'!$A$4:$A$200,0),MATCH(LARGE(IF(N1:AE1&lt;=F50,N1:AE1),1),N1:AE1,0)),"⚠ NOT FOUND"))</f>
        <v/>
      </c>
      <c r="I50" s="33" t="str">
        <f aca="false">IF(OR(G50="",H50=""),"",G50-H50)</f>
        <v/>
      </c>
      <c r="J50" s="34" t="str">
        <f aca="false">IF(OR(G50="",H50=""),"",IF(G50=0,0,(G50-H50)/G50))</f>
        <v/>
      </c>
      <c r="K50" s="35" t="str">
        <f aca="false">IF(OR(G50="",H50=""),"",IF(H50="⚠ NOT FOUND","⚠ CHECK PRODUCT",IF((G50-H50)/G50&lt;SETTINGS!$B$5/100,"❌ DISAPPROVED",IF((G50-H50)/G50&lt;SETTINGS!$B$6/100,"⚠ LOW MARGIN","✅ APPROVED"))))</f>
        <v/>
      </c>
      <c r="L50" s="33" t="str">
        <f aca="false">IF(OR(I50="",I50&lt;=0),"",I50*F50*SETTINGS!$B$7/100)</f>
        <v/>
      </c>
    </row>
    <row r="51" customFormat="false" ht="19.5" hidden="false" customHeight="true" outlineLevel="0" collapsed="false">
      <c r="A51" s="6" t="s">
        <v>124</v>
      </c>
      <c r="B51" s="29"/>
      <c r="C51" s="30"/>
      <c r="D51" s="30"/>
      <c r="E51" s="6"/>
      <c r="F51" s="31"/>
      <c r="G51" s="32"/>
      <c r="H51" s="33" t="str">
        <f aca="false">IF(OR(E51="",F51=""),"",IFERROR(INDEX('COST TABLE'!$C$4:$T$200,MATCH(E51,'COST TABLE'!$A$4:$A$200,0),MATCH(LARGE(IF(N1:AE1&lt;=F51,N1:AE1),1),N1:AE1,0)),"⚠ NOT FOUND"))</f>
        <v/>
      </c>
      <c r="I51" s="33" t="str">
        <f aca="false">IF(OR(G51="",H51=""),"",G51-H51)</f>
        <v/>
      </c>
      <c r="J51" s="34" t="str">
        <f aca="false">IF(OR(G51="",H51=""),"",IF(G51=0,0,(G51-H51)/G51))</f>
        <v/>
      </c>
      <c r="K51" s="35" t="str">
        <f aca="false">IF(OR(G51="",H51=""),"",IF(H51="⚠ NOT FOUND","⚠ CHECK PRODUCT",IF((G51-H51)/G51&lt;SETTINGS!$B$5/100,"❌ DISAPPROVED",IF((G51-H51)/G51&lt;SETTINGS!$B$6/100,"⚠ LOW MARGIN","✅ APPROVED"))))</f>
        <v/>
      </c>
      <c r="L51" s="33" t="str">
        <f aca="false">IF(OR(I51="",I51&lt;=0),"",I51*F51*SETTINGS!$B$7/100)</f>
        <v/>
      </c>
    </row>
    <row r="52" customFormat="false" ht="19.5" hidden="false" customHeight="true" outlineLevel="0" collapsed="false">
      <c r="A52" s="6" t="s">
        <v>125</v>
      </c>
      <c r="B52" s="29"/>
      <c r="C52" s="30"/>
      <c r="D52" s="30"/>
      <c r="E52" s="6"/>
      <c r="F52" s="31"/>
      <c r="G52" s="32"/>
      <c r="H52" s="33" t="str">
        <f aca="false">IF(OR(E52="",F52=""),"",IFERROR(INDEX('COST TABLE'!$C$4:$T$200,MATCH(E52,'COST TABLE'!$A$4:$A$200,0),MATCH(LARGE(IF(N1:AE1&lt;=F52,N1:AE1),1),N1:AE1,0)),"⚠ NOT FOUND"))</f>
        <v/>
      </c>
      <c r="I52" s="33" t="str">
        <f aca="false">IF(OR(G52="",H52=""),"",G52-H52)</f>
        <v/>
      </c>
      <c r="J52" s="34" t="str">
        <f aca="false">IF(OR(G52="",H52=""),"",IF(G52=0,0,(G52-H52)/G52))</f>
        <v/>
      </c>
      <c r="K52" s="35" t="str">
        <f aca="false">IF(OR(G52="",H52=""),"",IF(H52="⚠ NOT FOUND","⚠ CHECK PRODUCT",IF((G52-H52)/G52&lt;SETTINGS!$B$5/100,"❌ DISAPPROVED",IF((G52-H52)/G52&lt;SETTINGS!$B$6/100,"⚠ LOW MARGIN","✅ APPROVED"))))</f>
        <v/>
      </c>
      <c r="L52" s="33" t="str">
        <f aca="false">IF(OR(I52="",I52&lt;=0),"",I52*F52*SETTINGS!$B$7/100)</f>
        <v/>
      </c>
    </row>
    <row r="53" customFormat="false" ht="19.5" hidden="false" customHeight="true" outlineLevel="0" collapsed="false">
      <c r="A53" s="6" t="s">
        <v>126</v>
      </c>
      <c r="B53" s="29"/>
      <c r="C53" s="30"/>
      <c r="D53" s="30"/>
      <c r="E53" s="6"/>
      <c r="F53" s="31"/>
      <c r="G53" s="32"/>
      <c r="H53" s="33" t="str">
        <f aca="false">IF(OR(E53="",F53=""),"",IFERROR(INDEX('COST TABLE'!$C$4:$T$200,MATCH(E53,'COST TABLE'!$A$4:$A$200,0),MATCH(LARGE(IF(N1:AE1&lt;=F53,N1:AE1),1),N1:AE1,0)),"⚠ NOT FOUND"))</f>
        <v/>
      </c>
      <c r="I53" s="33" t="str">
        <f aca="false">IF(OR(G53="",H53=""),"",G53-H53)</f>
        <v/>
      </c>
      <c r="J53" s="34" t="str">
        <f aca="false">IF(OR(G53="",H53=""),"",IF(G53=0,0,(G53-H53)/G53))</f>
        <v/>
      </c>
      <c r="K53" s="35" t="str">
        <f aca="false">IF(OR(G53="",H53=""),"",IF(H53="⚠ NOT FOUND","⚠ CHECK PRODUCT",IF((G53-H53)/G53&lt;SETTINGS!$B$5/100,"❌ DISAPPROVED",IF((G53-H53)/G53&lt;SETTINGS!$B$6/100,"⚠ LOW MARGIN","✅ APPROVED"))))</f>
        <v/>
      </c>
      <c r="L53" s="33" t="str">
        <f aca="false">IF(OR(I53="",I53&lt;=0),"",I53*F53*SETTINGS!$B$7/100)</f>
        <v/>
      </c>
    </row>
    <row r="54" customFormat="false" ht="19.5" hidden="false" customHeight="true" outlineLevel="0" collapsed="false">
      <c r="A54" s="6" t="s">
        <v>127</v>
      </c>
      <c r="B54" s="29"/>
      <c r="C54" s="30"/>
      <c r="D54" s="30"/>
      <c r="E54" s="6"/>
      <c r="F54" s="31"/>
      <c r="G54" s="32"/>
      <c r="H54" s="33" t="str">
        <f aca="false">IF(OR(E54="",F54=""),"",IFERROR(INDEX('COST TABLE'!$C$4:$T$200,MATCH(E54,'COST TABLE'!$A$4:$A$200,0),MATCH(LARGE(IF(N1:AE1&lt;=F54,N1:AE1),1),N1:AE1,0)),"⚠ NOT FOUND"))</f>
        <v/>
      </c>
      <c r="I54" s="33" t="str">
        <f aca="false">IF(OR(G54="",H54=""),"",G54-H54)</f>
        <v/>
      </c>
      <c r="J54" s="34" t="str">
        <f aca="false">IF(OR(G54="",H54=""),"",IF(G54=0,0,(G54-H54)/G54))</f>
        <v/>
      </c>
      <c r="K54" s="35" t="str">
        <f aca="false">IF(OR(G54="",H54=""),"",IF(H54="⚠ NOT FOUND","⚠ CHECK PRODUCT",IF((G54-H54)/G54&lt;SETTINGS!$B$5/100,"❌ DISAPPROVED",IF((G54-H54)/G54&lt;SETTINGS!$B$6/100,"⚠ LOW MARGIN","✅ APPROVED"))))</f>
        <v/>
      </c>
      <c r="L54" s="33" t="str">
        <f aca="false">IF(OR(I54="",I54&lt;=0),"",I54*F54*SETTINGS!$B$7/100)</f>
        <v/>
      </c>
    </row>
    <row r="55" customFormat="false" ht="19.5" hidden="false" customHeight="true" outlineLevel="0" collapsed="false">
      <c r="A55" s="6" t="s">
        <v>128</v>
      </c>
      <c r="B55" s="29"/>
      <c r="C55" s="30"/>
      <c r="D55" s="30"/>
      <c r="E55" s="6"/>
      <c r="F55" s="31"/>
      <c r="G55" s="32"/>
      <c r="H55" s="33" t="str">
        <f aca="false">IF(OR(E55="",F55=""),"",IFERROR(INDEX('COST TABLE'!$C$4:$T$200,MATCH(E55,'COST TABLE'!$A$4:$A$200,0),MATCH(LARGE(IF(N1:AE1&lt;=F55,N1:AE1),1),N1:AE1,0)),"⚠ NOT FOUND"))</f>
        <v/>
      </c>
      <c r="I55" s="33" t="str">
        <f aca="false">IF(OR(G55="",H55=""),"",G55-H55)</f>
        <v/>
      </c>
      <c r="J55" s="34" t="str">
        <f aca="false">IF(OR(G55="",H55=""),"",IF(G55=0,0,(G55-H55)/G55))</f>
        <v/>
      </c>
      <c r="K55" s="35" t="str">
        <f aca="false">IF(OR(G55="",H55=""),"",IF(H55="⚠ NOT FOUND","⚠ CHECK PRODUCT",IF((G55-H55)/G55&lt;SETTINGS!$B$5/100,"❌ DISAPPROVED",IF((G55-H55)/G55&lt;SETTINGS!$B$6/100,"⚠ LOW MARGIN","✅ APPROVED"))))</f>
        <v/>
      </c>
      <c r="L55" s="33" t="str">
        <f aca="false">IF(OR(I55="",I55&lt;=0),"",I55*F55*SETTINGS!$B$7/100)</f>
        <v/>
      </c>
    </row>
  </sheetData>
  <mergeCells count="5">
    <mergeCell ref="A1:L1"/>
    <mergeCell ref="A2:L2"/>
    <mergeCell ref="A3:C3"/>
    <mergeCell ref="E3:G3"/>
    <mergeCell ref="I3:K3"/>
  </mergeCells>
  <conditionalFormatting sqref="K6:K55">
    <cfRule type="expression" priority="2" aboveAverage="0" equalAverage="0" bottom="0" percent="0" rank="0" text="" dxfId="0">
      <formula>K6="✅ APPROVED"</formula>
    </cfRule>
    <cfRule type="expression" priority="3" aboveAverage="0" equalAverage="0" bottom="0" percent="0" rank="0" text="" dxfId="1">
      <formula>K6="⚠ LOW MARGIN"</formula>
    </cfRule>
    <cfRule type="expression" priority="4" aboveAverage="0" equalAverage="0" bottom="0" percent="0" rank="0" text="" dxfId="2">
      <formula>K6="❌ DISAPPROVED"</formula>
    </cfRule>
  </conditionalFormatting>
  <conditionalFormatting sqref="A6:L55">
    <cfRule type="expression" priority="5" aboveAverage="0" equalAverage="0" bottom="0" percent="0" rank="0" text="" dxfId="3">
      <formula>$K6="✅ APPROVED"</formula>
    </cfRule>
    <cfRule type="expression" priority="6" aboveAverage="0" equalAverage="0" bottom="0" percent="0" rank="0" text="" dxfId="4">
      <formula>$K6="⚠ LOW MARGIN"</formula>
    </cfRule>
    <cfRule type="expression" priority="7" aboveAverage="0" equalAverage="0" bottom="0" percent="0" rank="0" text="" dxfId="5">
      <formula>$K6="❌ DISAPPROVED"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20"/>
    <col collapsed="false" customWidth="true" hidden="false" outlineLevel="0" max="6" min="6" style="1" width="22"/>
  </cols>
  <sheetData>
    <row r="1" customFormat="false" ht="31.5" hidden="false" customHeight="true" outlineLevel="0" collapsed="false">
      <c r="A1" s="16" t="s">
        <v>129</v>
      </c>
      <c r="B1" s="16"/>
      <c r="C1" s="16"/>
      <c r="D1" s="16"/>
      <c r="E1" s="16"/>
      <c r="F1" s="16"/>
    </row>
    <row r="2" customFormat="false" ht="18" hidden="false" customHeight="true" outlineLevel="0" collapsed="false">
      <c r="A2" s="17" t="s">
        <v>130</v>
      </c>
      <c r="B2" s="17"/>
      <c r="C2" s="17"/>
      <c r="D2" s="17"/>
      <c r="E2" s="17"/>
      <c r="F2" s="17"/>
    </row>
    <row r="4" customFormat="false" ht="27.75" hidden="false" customHeight="true" outlineLevel="0" collapsed="false">
      <c r="A4" s="28" t="s">
        <v>71</v>
      </c>
      <c r="B4" s="28" t="s">
        <v>131</v>
      </c>
      <c r="C4" s="28" t="s">
        <v>132</v>
      </c>
      <c r="D4" s="28" t="s">
        <v>133</v>
      </c>
      <c r="E4" s="28" t="s">
        <v>134</v>
      </c>
      <c r="F4" s="28" t="s">
        <v>135</v>
      </c>
    </row>
    <row r="5" customFormat="false" ht="19.5" hidden="false" customHeight="true" outlineLevel="0" collapsed="false">
      <c r="A5" s="30"/>
      <c r="B5" s="36" t="n">
        <f aca="false">COUNTIF('ORDER ENTRY'!$D$6:$D$55,$A5)</f>
        <v>0</v>
      </c>
      <c r="C5" s="36" t="n">
        <f aca="false">COUNTIFS('ORDER ENTRY'!$D$6:$D$55,$A5,'ORDER ENTRY'!$K$6:$K$55,"✅ APPROVED")</f>
        <v>0</v>
      </c>
      <c r="D5" s="37" t="n">
        <f aca="false">SUMPRODUCT(('ORDER ENTRY'!$D$6:$D$55=$A5)*('ORDER ENTRY'!$K$6:$K$55="✅ APPROVED")*IFERROR(('ORDER ENTRY'!$G$6:$G$55)*1,0)*IFERROR(('ORDER ENTRY'!$F$6:$F$55)*1,0))</f>
        <v>0</v>
      </c>
      <c r="E5" s="37" t="n">
        <f aca="false">SUMPRODUCT(('ORDER ENTRY'!$D$6:$D$55=$A5)*('ORDER ENTRY'!$K$6:$K$55="✅ APPROVED")*IFERROR(('ORDER ENTRY'!$I$6:$I$55)*1,0)*IFERROR(('ORDER ENTRY'!$F$6:$F$55)*1,0))</f>
        <v>0</v>
      </c>
      <c r="F5" s="38" t="n">
        <f aca="false">SUMIF('ORDER ENTRY'!$D$6:$D$55,$A5,'ORDER ENTRY'!$L$6:$L$55)</f>
        <v>0</v>
      </c>
    </row>
    <row r="6" customFormat="false" ht="19.5" hidden="false" customHeight="true" outlineLevel="0" collapsed="false">
      <c r="A6" s="30"/>
      <c r="B6" s="39" t="n">
        <f aca="false">COUNTIF('ORDER ENTRY'!$D$6:$D$55,$A6)</f>
        <v>0</v>
      </c>
      <c r="C6" s="39" t="n">
        <f aca="false">COUNTIFS('ORDER ENTRY'!$D$6:$D$55,$A6,'ORDER ENTRY'!$K$6:$K$55,"✅ APPROVED")</f>
        <v>0</v>
      </c>
      <c r="D6" s="33" t="n">
        <f aca="false">SUMPRODUCT(('ORDER ENTRY'!$D$6:$D$55=$A6)*('ORDER ENTRY'!$K$6:$K$55="✅ APPROVED")*IFERROR(('ORDER ENTRY'!$G$6:$G$55)*1,0)*IFERROR(('ORDER ENTRY'!$F$6:$F$55)*1,0))</f>
        <v>0</v>
      </c>
      <c r="E6" s="33" t="n">
        <f aca="false">SUMPRODUCT(('ORDER ENTRY'!$D$6:$D$55=$A6)*('ORDER ENTRY'!$K$6:$K$55="✅ APPROVED")*IFERROR(('ORDER ENTRY'!$I$6:$I$55)*1,0)*IFERROR(('ORDER ENTRY'!$F$6:$F$55)*1,0))</f>
        <v>0</v>
      </c>
      <c r="F6" s="40" t="n">
        <f aca="false">SUMIF('ORDER ENTRY'!$D$6:$D$55,$A6,'ORDER ENTRY'!$L$6:$L$55)</f>
        <v>0</v>
      </c>
    </row>
    <row r="7" customFormat="false" ht="19.5" hidden="false" customHeight="true" outlineLevel="0" collapsed="false">
      <c r="A7" s="30"/>
      <c r="B7" s="36" t="n">
        <f aca="false">COUNTIF('ORDER ENTRY'!$D$6:$D$55,$A7)</f>
        <v>0</v>
      </c>
      <c r="C7" s="36" t="n">
        <f aca="false">COUNTIFS('ORDER ENTRY'!$D$6:$D$55,$A7,'ORDER ENTRY'!$K$6:$K$55,"✅ APPROVED")</f>
        <v>0</v>
      </c>
      <c r="D7" s="37" t="n">
        <f aca="false">SUMPRODUCT(('ORDER ENTRY'!$D$6:$D$55=$A7)*('ORDER ENTRY'!$K$6:$K$55="✅ APPROVED")*IFERROR(('ORDER ENTRY'!$G$6:$G$55)*1,0)*IFERROR(('ORDER ENTRY'!$F$6:$F$55)*1,0))</f>
        <v>0</v>
      </c>
      <c r="E7" s="37" t="n">
        <f aca="false">SUMPRODUCT(('ORDER ENTRY'!$D$6:$D$55=$A7)*('ORDER ENTRY'!$K$6:$K$55="✅ APPROVED")*IFERROR(('ORDER ENTRY'!$I$6:$I$55)*1,0)*IFERROR(('ORDER ENTRY'!$F$6:$F$55)*1,0))</f>
        <v>0</v>
      </c>
      <c r="F7" s="38" t="n">
        <f aca="false">SUMIF('ORDER ENTRY'!$D$6:$D$55,$A7,'ORDER ENTRY'!$L$6:$L$55)</f>
        <v>0</v>
      </c>
    </row>
    <row r="8" customFormat="false" ht="19.5" hidden="false" customHeight="true" outlineLevel="0" collapsed="false">
      <c r="A8" s="30"/>
      <c r="B8" s="39" t="n">
        <f aca="false">COUNTIF('ORDER ENTRY'!$D$6:$D$55,$A8)</f>
        <v>0</v>
      </c>
      <c r="C8" s="39" t="n">
        <f aca="false">COUNTIFS('ORDER ENTRY'!$D$6:$D$55,$A8,'ORDER ENTRY'!$K$6:$K$55,"✅ APPROVED")</f>
        <v>0</v>
      </c>
      <c r="D8" s="33" t="n">
        <f aca="false">SUMPRODUCT(('ORDER ENTRY'!$D$6:$D$55=$A8)*('ORDER ENTRY'!$K$6:$K$55="✅ APPROVED")*IFERROR(('ORDER ENTRY'!$G$6:$G$55)*1,0)*IFERROR(('ORDER ENTRY'!$F$6:$F$55)*1,0))</f>
        <v>0</v>
      </c>
      <c r="E8" s="33" t="n">
        <f aca="false">SUMPRODUCT(('ORDER ENTRY'!$D$6:$D$55=$A8)*('ORDER ENTRY'!$K$6:$K$55="✅ APPROVED")*IFERROR(('ORDER ENTRY'!$I$6:$I$55)*1,0)*IFERROR(('ORDER ENTRY'!$F$6:$F$55)*1,0))</f>
        <v>0</v>
      </c>
      <c r="F8" s="40" t="n">
        <f aca="false">SUMIF('ORDER ENTRY'!$D$6:$D$55,$A8,'ORDER ENTRY'!$L$6:$L$55)</f>
        <v>0</v>
      </c>
    </row>
    <row r="9" customFormat="false" ht="19.5" hidden="false" customHeight="true" outlineLevel="0" collapsed="false">
      <c r="A9" s="30"/>
      <c r="B9" s="36" t="n">
        <f aca="false">COUNTIF('ORDER ENTRY'!$D$6:$D$55,$A9)</f>
        <v>0</v>
      </c>
      <c r="C9" s="36" t="n">
        <f aca="false">COUNTIFS('ORDER ENTRY'!$D$6:$D$55,$A9,'ORDER ENTRY'!$K$6:$K$55,"✅ APPROVED")</f>
        <v>0</v>
      </c>
      <c r="D9" s="37" t="n">
        <f aca="false">SUMPRODUCT(('ORDER ENTRY'!$D$6:$D$55=$A9)*('ORDER ENTRY'!$K$6:$K$55="✅ APPROVED")*IFERROR(('ORDER ENTRY'!$G$6:$G$55)*1,0)*IFERROR(('ORDER ENTRY'!$F$6:$F$55)*1,0))</f>
        <v>0</v>
      </c>
      <c r="E9" s="37" t="n">
        <f aca="false">SUMPRODUCT(('ORDER ENTRY'!$D$6:$D$55=$A9)*('ORDER ENTRY'!$K$6:$K$55="✅ APPROVED")*IFERROR(('ORDER ENTRY'!$I$6:$I$55)*1,0)*IFERROR(('ORDER ENTRY'!$F$6:$F$55)*1,0))</f>
        <v>0</v>
      </c>
      <c r="F9" s="38" t="n">
        <f aca="false">SUMIF('ORDER ENTRY'!$D$6:$D$55,$A9,'ORDER ENTRY'!$L$6:$L$55)</f>
        <v>0</v>
      </c>
    </row>
    <row r="10" customFormat="false" ht="19.5" hidden="false" customHeight="true" outlineLevel="0" collapsed="false">
      <c r="A10" s="30"/>
      <c r="B10" s="39" t="n">
        <f aca="false">COUNTIF('ORDER ENTRY'!$D$6:$D$55,$A10)</f>
        <v>0</v>
      </c>
      <c r="C10" s="39" t="n">
        <f aca="false">COUNTIFS('ORDER ENTRY'!$D$6:$D$55,$A10,'ORDER ENTRY'!$K$6:$K$55,"✅ APPROVED")</f>
        <v>0</v>
      </c>
      <c r="D10" s="33" t="n">
        <f aca="false">SUMPRODUCT(('ORDER ENTRY'!$D$6:$D$55=$A10)*('ORDER ENTRY'!$K$6:$K$55="✅ APPROVED")*IFERROR(('ORDER ENTRY'!$G$6:$G$55)*1,0)*IFERROR(('ORDER ENTRY'!$F$6:$F$55)*1,0))</f>
        <v>0</v>
      </c>
      <c r="E10" s="33" t="n">
        <f aca="false">SUMPRODUCT(('ORDER ENTRY'!$D$6:$D$55=$A10)*('ORDER ENTRY'!$K$6:$K$55="✅ APPROVED")*IFERROR(('ORDER ENTRY'!$I$6:$I$55)*1,0)*IFERROR(('ORDER ENTRY'!$F$6:$F$55)*1,0))</f>
        <v>0</v>
      </c>
      <c r="F10" s="40" t="n">
        <f aca="false">SUMIF('ORDER ENTRY'!$D$6:$D$55,$A10,'ORDER ENTRY'!$L$6:$L$55)</f>
        <v>0</v>
      </c>
    </row>
    <row r="11" customFormat="false" ht="19.5" hidden="false" customHeight="true" outlineLevel="0" collapsed="false">
      <c r="A11" s="30"/>
      <c r="B11" s="36" t="n">
        <f aca="false">COUNTIF('ORDER ENTRY'!$D$6:$D$55,$A11)</f>
        <v>0</v>
      </c>
      <c r="C11" s="36" t="n">
        <f aca="false">COUNTIFS('ORDER ENTRY'!$D$6:$D$55,$A11,'ORDER ENTRY'!$K$6:$K$55,"✅ APPROVED")</f>
        <v>0</v>
      </c>
      <c r="D11" s="37" t="n">
        <f aca="false">SUMPRODUCT(('ORDER ENTRY'!$D$6:$D$55=$A11)*('ORDER ENTRY'!$K$6:$K$55="✅ APPROVED")*IFERROR(('ORDER ENTRY'!$G$6:$G$55)*1,0)*IFERROR(('ORDER ENTRY'!$F$6:$F$55)*1,0))</f>
        <v>0</v>
      </c>
      <c r="E11" s="37" t="n">
        <f aca="false">SUMPRODUCT(('ORDER ENTRY'!$D$6:$D$55=$A11)*('ORDER ENTRY'!$K$6:$K$55="✅ APPROVED")*IFERROR(('ORDER ENTRY'!$I$6:$I$55)*1,0)*IFERROR(('ORDER ENTRY'!$F$6:$F$55)*1,0))</f>
        <v>0</v>
      </c>
      <c r="F11" s="38" t="n">
        <f aca="false">SUMIF('ORDER ENTRY'!$D$6:$D$55,$A11,'ORDER ENTRY'!$L$6:$L$55)</f>
        <v>0</v>
      </c>
    </row>
    <row r="12" customFormat="false" ht="19.5" hidden="false" customHeight="true" outlineLevel="0" collapsed="false">
      <c r="A12" s="30"/>
      <c r="B12" s="39" t="n">
        <f aca="false">COUNTIF('ORDER ENTRY'!$D$6:$D$55,$A12)</f>
        <v>0</v>
      </c>
      <c r="C12" s="39" t="n">
        <f aca="false">COUNTIFS('ORDER ENTRY'!$D$6:$D$55,$A12,'ORDER ENTRY'!$K$6:$K$55,"✅ APPROVED")</f>
        <v>0</v>
      </c>
      <c r="D12" s="33" t="n">
        <f aca="false">SUMPRODUCT(('ORDER ENTRY'!$D$6:$D$55=$A12)*('ORDER ENTRY'!$K$6:$K$55="✅ APPROVED")*IFERROR(('ORDER ENTRY'!$G$6:$G$55)*1,0)*IFERROR(('ORDER ENTRY'!$F$6:$F$55)*1,0))</f>
        <v>0</v>
      </c>
      <c r="E12" s="33" t="n">
        <f aca="false">SUMPRODUCT(('ORDER ENTRY'!$D$6:$D$55=$A12)*('ORDER ENTRY'!$K$6:$K$55="✅ APPROVED")*IFERROR(('ORDER ENTRY'!$I$6:$I$55)*1,0)*IFERROR(('ORDER ENTRY'!$F$6:$F$55)*1,0))</f>
        <v>0</v>
      </c>
      <c r="F12" s="40" t="n">
        <f aca="false">SUMIF('ORDER ENTRY'!$D$6:$D$55,$A12,'ORDER ENTRY'!$L$6:$L$55)</f>
        <v>0</v>
      </c>
    </row>
    <row r="13" customFormat="false" ht="19.5" hidden="false" customHeight="true" outlineLevel="0" collapsed="false">
      <c r="A13" s="30"/>
      <c r="B13" s="36" t="n">
        <f aca="false">COUNTIF('ORDER ENTRY'!$D$6:$D$55,$A13)</f>
        <v>0</v>
      </c>
      <c r="C13" s="36" t="n">
        <f aca="false">COUNTIFS('ORDER ENTRY'!$D$6:$D$55,$A13,'ORDER ENTRY'!$K$6:$K$55,"✅ APPROVED")</f>
        <v>0</v>
      </c>
      <c r="D13" s="37" t="n">
        <f aca="false">SUMPRODUCT(('ORDER ENTRY'!$D$6:$D$55=$A13)*('ORDER ENTRY'!$K$6:$K$55="✅ APPROVED")*IFERROR(('ORDER ENTRY'!$G$6:$G$55)*1,0)*IFERROR(('ORDER ENTRY'!$F$6:$F$55)*1,0))</f>
        <v>0</v>
      </c>
      <c r="E13" s="37" t="n">
        <f aca="false">SUMPRODUCT(('ORDER ENTRY'!$D$6:$D$55=$A13)*('ORDER ENTRY'!$K$6:$K$55="✅ APPROVED")*IFERROR(('ORDER ENTRY'!$I$6:$I$55)*1,0)*IFERROR(('ORDER ENTRY'!$F$6:$F$55)*1,0))</f>
        <v>0</v>
      </c>
      <c r="F13" s="38" t="n">
        <f aca="false">SUMIF('ORDER ENTRY'!$D$6:$D$55,$A13,'ORDER ENTRY'!$L$6:$L$55)</f>
        <v>0</v>
      </c>
    </row>
    <row r="14" customFormat="false" ht="19.5" hidden="false" customHeight="true" outlineLevel="0" collapsed="false">
      <c r="A14" s="30"/>
      <c r="B14" s="39" t="n">
        <f aca="false">COUNTIF('ORDER ENTRY'!$D$6:$D$55,$A14)</f>
        <v>0</v>
      </c>
      <c r="C14" s="39" t="n">
        <f aca="false">COUNTIFS('ORDER ENTRY'!$D$6:$D$55,$A14,'ORDER ENTRY'!$K$6:$K$55,"✅ APPROVED")</f>
        <v>0</v>
      </c>
      <c r="D14" s="33" t="n">
        <f aca="false">SUMPRODUCT(('ORDER ENTRY'!$D$6:$D$55=$A14)*('ORDER ENTRY'!$K$6:$K$55="✅ APPROVED")*IFERROR(('ORDER ENTRY'!$G$6:$G$55)*1,0)*IFERROR(('ORDER ENTRY'!$F$6:$F$55)*1,0))</f>
        <v>0</v>
      </c>
      <c r="E14" s="33" t="n">
        <f aca="false">SUMPRODUCT(('ORDER ENTRY'!$D$6:$D$55=$A14)*('ORDER ENTRY'!$K$6:$K$55="✅ APPROVED")*IFERROR(('ORDER ENTRY'!$I$6:$I$55)*1,0)*IFERROR(('ORDER ENTRY'!$F$6:$F$55)*1,0))</f>
        <v>0</v>
      </c>
      <c r="F14" s="40" t="n">
        <f aca="false">SUMIF('ORDER ENTRY'!$D$6:$D$55,$A14,'ORDER ENTRY'!$L$6:$L$55)</f>
        <v>0</v>
      </c>
    </row>
    <row r="15" customFormat="false" ht="19.5" hidden="false" customHeight="true" outlineLevel="0" collapsed="false">
      <c r="A15" s="30"/>
      <c r="B15" s="36" t="n">
        <f aca="false">COUNTIF('ORDER ENTRY'!$D$6:$D$55,$A15)</f>
        <v>0</v>
      </c>
      <c r="C15" s="36" t="n">
        <f aca="false">COUNTIFS('ORDER ENTRY'!$D$6:$D$55,$A15,'ORDER ENTRY'!$K$6:$K$55,"✅ APPROVED")</f>
        <v>0</v>
      </c>
      <c r="D15" s="37" t="n">
        <f aca="false">SUMPRODUCT(('ORDER ENTRY'!$D$6:$D$55=$A15)*('ORDER ENTRY'!$K$6:$K$55="✅ APPROVED")*IFERROR(('ORDER ENTRY'!$G$6:$G$55)*1,0)*IFERROR(('ORDER ENTRY'!$F$6:$F$55)*1,0))</f>
        <v>0</v>
      </c>
      <c r="E15" s="37" t="n">
        <f aca="false">SUMPRODUCT(('ORDER ENTRY'!$D$6:$D$55=$A15)*('ORDER ENTRY'!$K$6:$K$55="✅ APPROVED")*IFERROR(('ORDER ENTRY'!$I$6:$I$55)*1,0)*IFERROR(('ORDER ENTRY'!$F$6:$F$55)*1,0))</f>
        <v>0</v>
      </c>
      <c r="F15" s="38" t="n">
        <f aca="false">SUMIF('ORDER ENTRY'!$D$6:$D$55,$A15,'ORDER ENTRY'!$L$6:$L$55)</f>
        <v>0</v>
      </c>
    </row>
    <row r="16" customFormat="false" ht="19.5" hidden="false" customHeight="true" outlineLevel="0" collapsed="false">
      <c r="A16" s="30"/>
      <c r="B16" s="39" t="n">
        <f aca="false">COUNTIF('ORDER ENTRY'!$D$6:$D$55,$A16)</f>
        <v>0</v>
      </c>
      <c r="C16" s="39" t="n">
        <f aca="false">COUNTIFS('ORDER ENTRY'!$D$6:$D$55,$A16,'ORDER ENTRY'!$K$6:$K$55,"✅ APPROVED")</f>
        <v>0</v>
      </c>
      <c r="D16" s="33" t="n">
        <f aca="false">SUMPRODUCT(('ORDER ENTRY'!$D$6:$D$55=$A16)*('ORDER ENTRY'!$K$6:$K$55="✅ APPROVED")*IFERROR(('ORDER ENTRY'!$G$6:$G$55)*1,0)*IFERROR(('ORDER ENTRY'!$F$6:$F$55)*1,0))</f>
        <v>0</v>
      </c>
      <c r="E16" s="33" t="n">
        <f aca="false">SUMPRODUCT(('ORDER ENTRY'!$D$6:$D$55=$A16)*('ORDER ENTRY'!$K$6:$K$55="✅ APPROVED")*IFERROR(('ORDER ENTRY'!$I$6:$I$55)*1,0)*IFERROR(('ORDER ENTRY'!$F$6:$F$55)*1,0))</f>
        <v>0</v>
      </c>
      <c r="F16" s="40" t="n">
        <f aca="false">SUMIF('ORDER ENTRY'!$D$6:$D$55,$A16,'ORDER ENTRY'!$L$6:$L$55)</f>
        <v>0</v>
      </c>
    </row>
    <row r="17" customFormat="false" ht="19.5" hidden="false" customHeight="true" outlineLevel="0" collapsed="false">
      <c r="A17" s="30"/>
      <c r="B17" s="36" t="n">
        <f aca="false">COUNTIF('ORDER ENTRY'!$D$6:$D$55,$A17)</f>
        <v>0</v>
      </c>
      <c r="C17" s="36" t="n">
        <f aca="false">COUNTIFS('ORDER ENTRY'!$D$6:$D$55,$A17,'ORDER ENTRY'!$K$6:$K$55,"✅ APPROVED")</f>
        <v>0</v>
      </c>
      <c r="D17" s="37" t="n">
        <f aca="false">SUMPRODUCT(('ORDER ENTRY'!$D$6:$D$55=$A17)*('ORDER ENTRY'!$K$6:$K$55="✅ APPROVED")*IFERROR(('ORDER ENTRY'!$G$6:$G$55)*1,0)*IFERROR(('ORDER ENTRY'!$F$6:$F$55)*1,0))</f>
        <v>0</v>
      </c>
      <c r="E17" s="37" t="n">
        <f aca="false">SUMPRODUCT(('ORDER ENTRY'!$D$6:$D$55=$A17)*('ORDER ENTRY'!$K$6:$K$55="✅ APPROVED")*IFERROR(('ORDER ENTRY'!$I$6:$I$55)*1,0)*IFERROR(('ORDER ENTRY'!$F$6:$F$55)*1,0))</f>
        <v>0</v>
      </c>
      <c r="F17" s="38" t="n">
        <f aca="false">SUMIF('ORDER ENTRY'!$D$6:$D$55,$A17,'ORDER ENTRY'!$L$6:$L$55)</f>
        <v>0</v>
      </c>
    </row>
    <row r="18" customFormat="false" ht="19.5" hidden="false" customHeight="true" outlineLevel="0" collapsed="false">
      <c r="A18" s="30"/>
      <c r="B18" s="39" t="n">
        <f aca="false">COUNTIF('ORDER ENTRY'!$D$6:$D$55,$A18)</f>
        <v>0</v>
      </c>
      <c r="C18" s="39" t="n">
        <f aca="false">COUNTIFS('ORDER ENTRY'!$D$6:$D$55,$A18,'ORDER ENTRY'!$K$6:$K$55,"✅ APPROVED")</f>
        <v>0</v>
      </c>
      <c r="D18" s="33" t="n">
        <f aca="false">SUMPRODUCT(('ORDER ENTRY'!$D$6:$D$55=$A18)*('ORDER ENTRY'!$K$6:$K$55="✅ APPROVED")*IFERROR(('ORDER ENTRY'!$G$6:$G$55)*1,0)*IFERROR(('ORDER ENTRY'!$F$6:$F$55)*1,0))</f>
        <v>0</v>
      </c>
      <c r="E18" s="33" t="n">
        <f aca="false">SUMPRODUCT(('ORDER ENTRY'!$D$6:$D$55=$A18)*('ORDER ENTRY'!$K$6:$K$55="✅ APPROVED")*IFERROR(('ORDER ENTRY'!$I$6:$I$55)*1,0)*IFERROR(('ORDER ENTRY'!$F$6:$F$55)*1,0))</f>
        <v>0</v>
      </c>
      <c r="F18" s="40" t="n">
        <f aca="false">SUMIF('ORDER ENTRY'!$D$6:$D$55,$A18,'ORDER ENTRY'!$L$6:$L$55)</f>
        <v>0</v>
      </c>
    </row>
    <row r="19" customFormat="false" ht="19.5" hidden="false" customHeight="true" outlineLevel="0" collapsed="false">
      <c r="A19" s="30"/>
      <c r="B19" s="36" t="n">
        <f aca="false">COUNTIF('ORDER ENTRY'!$D$6:$D$55,$A19)</f>
        <v>0</v>
      </c>
      <c r="C19" s="36" t="n">
        <f aca="false">COUNTIFS('ORDER ENTRY'!$D$6:$D$55,$A19,'ORDER ENTRY'!$K$6:$K$55,"✅ APPROVED")</f>
        <v>0</v>
      </c>
      <c r="D19" s="37" t="n">
        <f aca="false">SUMPRODUCT(('ORDER ENTRY'!$D$6:$D$55=$A19)*('ORDER ENTRY'!$K$6:$K$55="✅ APPROVED")*IFERROR(('ORDER ENTRY'!$G$6:$G$55)*1,0)*IFERROR(('ORDER ENTRY'!$F$6:$F$55)*1,0))</f>
        <v>0</v>
      </c>
      <c r="E19" s="37" t="n">
        <f aca="false">SUMPRODUCT(('ORDER ENTRY'!$D$6:$D$55=$A19)*('ORDER ENTRY'!$K$6:$K$55="✅ APPROVED")*IFERROR(('ORDER ENTRY'!$I$6:$I$55)*1,0)*IFERROR(('ORDER ENTRY'!$F$6:$F$55)*1,0))</f>
        <v>0</v>
      </c>
      <c r="F19" s="38" t="n">
        <f aca="false">SUMIF('ORDER ENTRY'!$D$6:$D$55,$A19,'ORDER ENTRY'!$L$6:$L$55)</f>
        <v>0</v>
      </c>
    </row>
    <row r="20" customFormat="false" ht="15" hidden="false" customHeight="true" outlineLevel="0" collapsed="false">
      <c r="A20" s="4" t="s">
        <v>136</v>
      </c>
      <c r="B20" s="41" t="n">
        <f aca="false">SUM(B5:B19)</f>
        <v>0</v>
      </c>
      <c r="C20" s="41" t="n">
        <f aca="false">SUM(C5:C19)</f>
        <v>0</v>
      </c>
      <c r="D20" s="42" t="n">
        <f aca="false">SUMPRODUCT(('ORDER ENTRY'!$D$6:$D$55=$A20)*('ORDER ENTRY'!$K$6:$K$55="✅ APPROVED")*IFERROR(('ORDER ENTRY'!$G$6:$G$55)*1,0)*IFERROR(('ORDER ENTRY'!$F$6:$F$55)*1,0))</f>
        <v>0</v>
      </c>
      <c r="E20" s="42" t="n">
        <f aca="false">SUMPRODUCT(('ORDER ENTRY'!$D$6:$D$55=$A20)*('ORDER ENTRY'!$K$6:$K$55="✅ APPROVED")*IFERROR(('ORDER ENTRY'!$I$6:$I$55)*1,0)*IFERROR(('ORDER ENTRY'!$F$6:$F$55)*1,0))</f>
        <v>0</v>
      </c>
      <c r="F20" s="42" t="n">
        <f aca="false">SUM(F5:F19)</f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0"/>
    <col collapsed="false" customWidth="true" hidden="false" outlineLevel="0" max="4" min="3" style="1" width="1"/>
  </cols>
  <sheetData>
    <row r="1" customFormat="false" ht="36" hidden="false" customHeight="true" outlineLevel="0" collapsed="false">
      <c r="A1" s="2" t="s">
        <v>137</v>
      </c>
      <c r="B1" s="2"/>
      <c r="C1" s="2"/>
      <c r="D1" s="2"/>
    </row>
    <row r="3" customFormat="false" ht="39.75" hidden="false" customHeight="true" outlineLevel="0" collapsed="false">
      <c r="A3" s="19" t="s">
        <v>138</v>
      </c>
      <c r="B3" s="43" t="s">
        <v>139</v>
      </c>
      <c r="C3" s="43"/>
      <c r="D3" s="43"/>
    </row>
    <row r="4" customFormat="false" ht="39.75" hidden="false" customHeight="true" outlineLevel="0" collapsed="false">
      <c r="A4" s="19" t="s">
        <v>140</v>
      </c>
      <c r="B4" s="44" t="s">
        <v>141</v>
      </c>
      <c r="C4" s="44"/>
      <c r="D4" s="44"/>
    </row>
    <row r="5" customFormat="false" ht="39.75" hidden="false" customHeight="true" outlineLevel="0" collapsed="false">
      <c r="A5" s="19" t="s">
        <v>142</v>
      </c>
      <c r="B5" s="43" t="s">
        <v>143</v>
      </c>
      <c r="C5" s="43"/>
      <c r="D5" s="43"/>
    </row>
    <row r="6" customFormat="false" ht="39.75" hidden="false" customHeight="true" outlineLevel="0" collapsed="false">
      <c r="A6" s="19" t="s">
        <v>144</v>
      </c>
      <c r="B6" s="44" t="s">
        <v>145</v>
      </c>
      <c r="C6" s="44"/>
      <c r="D6" s="44"/>
    </row>
    <row r="7" customFormat="false" ht="39.75" hidden="false" customHeight="true" outlineLevel="0" collapsed="false">
      <c r="A7" s="19" t="s">
        <v>146</v>
      </c>
      <c r="B7" s="43" t="s">
        <v>147</v>
      </c>
      <c r="C7" s="43"/>
      <c r="D7" s="43"/>
    </row>
    <row r="8" customFormat="false" ht="39.75" hidden="false" customHeight="true" outlineLevel="0" collapsed="false">
      <c r="A8" s="19" t="s">
        <v>148</v>
      </c>
      <c r="B8" s="44" t="s">
        <v>149</v>
      </c>
      <c r="C8" s="44"/>
      <c r="D8" s="44"/>
    </row>
    <row r="9" customFormat="false" ht="39.75" hidden="false" customHeight="true" outlineLevel="0" collapsed="false">
      <c r="A9" s="19" t="s">
        <v>150</v>
      </c>
      <c r="B9" s="43" t="s">
        <v>151</v>
      </c>
      <c r="C9" s="43"/>
      <c r="D9" s="43"/>
    </row>
    <row r="10" customFormat="false" ht="39.75" hidden="false" customHeight="true" outlineLevel="0" collapsed="false">
      <c r="A10" s="19" t="s">
        <v>152</v>
      </c>
      <c r="B10" s="44" t="s">
        <v>153</v>
      </c>
      <c r="C10" s="44"/>
      <c r="D10" s="44"/>
    </row>
    <row r="11" customFormat="false" ht="39.75" hidden="false" customHeight="true" outlineLevel="0" collapsed="false">
      <c r="A11" s="19" t="s">
        <v>154</v>
      </c>
      <c r="B11" s="43" t="s">
        <v>155</v>
      </c>
      <c r="C11" s="43"/>
      <c r="D11" s="43"/>
    </row>
    <row r="12" customFormat="false" ht="39.75" hidden="false" customHeight="true" outlineLevel="0" collapsed="false">
      <c r="A12" s="19" t="s">
        <v>156</v>
      </c>
      <c r="B12" s="44" t="s">
        <v>157</v>
      </c>
      <c r="C12" s="44"/>
      <c r="D12" s="44"/>
    </row>
  </sheetData>
  <mergeCells count="11">
    <mergeCell ref="A1:D1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2026-05-27T14:18:36Z</dcterms:created>
  <dc:creator>openpyxl</dc:creator>
  <dc:description/>
  <dc:language>en-US</dc:language>
  <cp:lastModifiedBy/>
  <dcterms:modified xsi:type="dcterms:W3CDTF">2026-05-27T14:19:23Z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