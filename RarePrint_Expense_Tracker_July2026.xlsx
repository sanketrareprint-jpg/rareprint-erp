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Vendor Expense (161)" sheetId="2" state="visible" r:id="rId4"/>
    <sheet name="Salary" sheetId="3" state="visible" r:id="rId5"/>
    <sheet name="Commiss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<sst xmlns="http://schemas.openxmlformats.org/spreadsheetml/2006/main" count="716" uniqueCount="275">
  <si>
    <t xml:space="preserve">RarePrint — Expense Tracker (July 2026)</t>
  </si>
  <si>
    <t xml:space="preserve">Source: Accounts &gt; Expense Tracker, built from Accounts &gt; Payment Verification (bank statement DR transactions, month-mapped via Expense Month override)</t>
  </si>
  <si>
    <t xml:space="preserve">Accrued</t>
  </si>
  <si>
    <t xml:space="preserve">Paid</t>
  </si>
  <si>
    <t xml:space="preserve">Balance</t>
  </si>
  <si>
    <t xml:space="preserve">Vendor / Expense (from Payment Verification)</t>
  </si>
  <si>
    <t xml:space="preserve">Salary</t>
  </si>
  <si>
    <t xml:space="preserve">Commission</t>
  </si>
  <si>
    <t xml:space="preserve">TOTAL</t>
  </si>
  <si>
    <t xml:space="preserve">Figures reconciled against the live Accounts &gt; Expense Tracker screen (July 2026) on 2026-07-26.</t>
  </si>
  <si>
    <t xml:space="preserve">Date</t>
  </si>
  <si>
    <t xml:space="preserve">Vendor / Expense</t>
  </si>
  <si>
    <t xml:space="preserve">Amount</t>
  </si>
  <si>
    <t xml:space="preserve">Status</t>
  </si>
  <si>
    <t xml:space="preserve">Expense Month Override</t>
  </si>
  <si>
    <t xml:space="preserve">Checked By</t>
  </si>
  <si>
    <t xml:space="preserve">Bank Description</t>
  </si>
  <si>
    <t xml:space="preserve">2026-07-25</t>
  </si>
  <si>
    <t xml:space="preserve">DIVYA THERE SALARY</t>
  </si>
  <si>
    <t xml:space="preserve">UNPAID</t>
  </si>
  <si>
    <t xml:space="preserve">UPI/620687881131/DIVYA RAMESH THERE</t>
  </si>
  <si>
    <t xml:space="preserve">SOFTLINK DIGITAL</t>
  </si>
  <si>
    <t xml:space="preserve">UPI/620606075559/SOFTLINK DIGITAL</t>
  </si>
  <si>
    <t xml:space="preserve">SANKET PIMPALKAR SALARY</t>
  </si>
  <si>
    <t xml:space="preserve">UPI/620664292146/SANKET MOHANDAS PIMPALKAR</t>
  </si>
  <si>
    <t xml:space="preserve">VRUSHALI PIMPALKAR SALARY</t>
  </si>
  <si>
    <t xml:space="preserve">UPI/620628076670/VRUSHALI MOHANDAS PIMPALKAR</t>
  </si>
  <si>
    <t xml:space="preserve">nfs/PBB CHANDRAPUR ATM CHANDRAPUR MHIN</t>
  </si>
  <si>
    <t xml:space="preserve">UPI/657282909949/SANKET MOHANDAS PIMPALKAR</t>
  </si>
  <si>
    <t xml:space="preserve">2026-07-24</t>
  </si>
  <si>
    <t xml:space="preserve">SHEKHAWAT PARCEL</t>
  </si>
  <si>
    <t xml:space="preserve">July 2026</t>
  </si>
  <si>
    <t xml:space="preserve">PRAJAKTA</t>
  </si>
  <si>
    <t xml:space="preserve">UPI/620612374152/Gajendra Singh Hanuman Singh Rath</t>
  </si>
  <si>
    <t xml:space="preserve">2026-07-23</t>
  </si>
  <si>
    <t xml:space="preserve">PAPPU SOUND</t>
  </si>
  <si>
    <t xml:space="preserve">UPI/620598614658/K PAPPU P A D J SOUND</t>
  </si>
  <si>
    <t xml:space="preserve">RAJ COMPUTER</t>
  </si>
  <si>
    <t xml:space="preserve">UPI/620520623358/RAJ COMPUTERS AND</t>
  </si>
  <si>
    <t xml:space="preserve">BIGSHIP RECHARGE</t>
  </si>
  <si>
    <t xml:space="preserve">UPI/620541124649/Bigshipin</t>
  </si>
  <si>
    <t xml:space="preserve">PAID</t>
  </si>
  <si>
    <t xml:space="preserve">Sanket</t>
  </si>
  <si>
    <t xml:space="preserve">nfs/RAMNAGAR BOKARE LAYOUT CHANDRAPUR</t>
  </si>
  <si>
    <t xml:space="preserve">3 ACE INFOTECH DEGITAL MARKETING</t>
  </si>
  <si>
    <t xml:space="preserve">UPI/657016854237/GAURAV SUNIL</t>
  </si>
  <si>
    <t xml:space="preserve">2026-07-22</t>
  </si>
  <si>
    <t xml:space="preserve">SANDIP ZAGADKAR SALARY</t>
  </si>
  <si>
    <t xml:space="preserve">UPI/657086758161/SANDIP RAMDAS</t>
  </si>
  <si>
    <t xml:space="preserve">AISENSY MARKETING</t>
  </si>
  <si>
    <t xml:space="preserve">UPI/657089344057/AiSensy Communication</t>
  </si>
  <si>
    <t xml:space="preserve">SCANO ( AMOL BAMNOTE)</t>
  </si>
  <si>
    <t xml:space="preserve">UPI/657058630844/9975654011 ptyes</t>
  </si>
  <si>
    <t xml:space="preserve">MOBILE RECHARGE</t>
  </si>
  <si>
    <t xml:space="preserve">UPI/620323759219/Google India</t>
  </si>
  <si>
    <t xml:space="preserve">UPI/620307186832/DIVYA RAMESH THERE</t>
  </si>
  <si>
    <t xml:space="preserve">VAISHALI DHAKATE SALARY</t>
  </si>
  <si>
    <t xml:space="preserve">UPI/656972217056/VAISHALI RAJESH DHAKATE</t>
  </si>
  <si>
    <t xml:space="preserve">VIJAYALAXMI ( RAJESH BHAISE)</t>
  </si>
  <si>
    <t xml:space="preserve">UPI/656966200400/RAJESH KUSUMAKAR BHAISE</t>
  </si>
  <si>
    <t xml:space="preserve">NAVYA DISHA TRANSPORT</t>
  </si>
  <si>
    <t xml:space="preserve">UPI/620369676285/saachi logistics</t>
  </si>
  <si>
    <t xml:space="preserve">2026-07-21</t>
  </si>
  <si>
    <t xml:space="preserve">(none)</t>
  </si>
  <si>
    <t xml:space="preserve">UPI/620351287615/ASHWINI SHRIRAM CHIWANDE</t>
  </si>
  <si>
    <t xml:space="preserve">PETROL</t>
  </si>
  <si>
    <t xml:space="preserve">RPAY-POS/MANAS AGRO INDUSTRIES</t>
  </si>
  <si>
    <t xml:space="preserve">RAZA ENVELOPE</t>
  </si>
  <si>
    <t xml:space="preserve">UPI/620295317811/SHEIKH SHOHEB</t>
  </si>
  <si>
    <t xml:space="preserve">GULFAM QURESHI SALARY</t>
  </si>
  <si>
    <t xml:space="preserve">UPI/620267518795/GULFAM FAHIM</t>
  </si>
  <si>
    <t xml:space="preserve">UPI/620290826841/GULFAM FAHIM</t>
  </si>
  <si>
    <t xml:space="preserve">2026-07-20</t>
  </si>
  <si>
    <t xml:space="preserve">UPI/620297608187/AiSensy Communication</t>
  </si>
  <si>
    <t xml:space="preserve">UPI/620204506482/MS GURUKRUPA</t>
  </si>
  <si>
    <t xml:space="preserve">OFFICE EXPENSE</t>
  </si>
  <si>
    <t xml:space="preserve">UPI/656849394051/CHANDA PLASTIC</t>
  </si>
  <si>
    <t xml:space="preserve">UPI/620283608991/GULFAM FAHIM</t>
  </si>
  <si>
    <t xml:space="preserve">UPI/656880086894/GULFAM FAHIM</t>
  </si>
  <si>
    <t xml:space="preserve">2026-07-19</t>
  </si>
  <si>
    <t xml:space="preserve">BANK TRANSFER</t>
  </si>
  <si>
    <t xml:space="preserve">INET/0513102000013378To0513651</t>
  </si>
  <si>
    <t xml:space="preserve">CAPITAL EXPENDITURE</t>
  </si>
  <si>
    <t xml:space="preserve">UPI/656704529377/LAXMI COMPUTERS</t>
  </si>
  <si>
    <t xml:space="preserve">UPI/656797726746/SANKET MOHANDAS PIMPALKAR</t>
  </si>
  <si>
    <t xml:space="preserve">UPI/656782925685/SANDIP RAMDAS</t>
  </si>
  <si>
    <t xml:space="preserve">2026-07-18</t>
  </si>
  <si>
    <t xml:space="preserve">UPI/656538173711/LAXMI COMPUTERS</t>
  </si>
  <si>
    <t xml:space="preserve">UPI/656550178000/RAJ COMPUTERS</t>
  </si>
  <si>
    <t xml:space="preserve">UPI/656596694048/Google India</t>
  </si>
  <si>
    <t xml:space="preserve">UPI/656593588020/VAISHALI RAJESH DHAKATE</t>
  </si>
  <si>
    <t xml:space="preserve">PRIYA KOMMU SALARY</t>
  </si>
  <si>
    <t xml:space="preserve">UPI/656507285705/VAMSHI SHYAM</t>
  </si>
  <si>
    <t xml:space="preserve">2026-07-17</t>
  </si>
  <si>
    <t xml:space="preserve">UPI/656538888234/Bigshipin</t>
  </si>
  <si>
    <t xml:space="preserve">UPI/656507472648/SANKET MOHANDAS PIMPALKAR</t>
  </si>
  <si>
    <t xml:space="preserve">UPI/656573898091/saachi logistics</t>
  </si>
  <si>
    <t xml:space="preserve">DHAVAL TRADERS</t>
  </si>
  <si>
    <t xml:space="preserve">UPI/656582874077/Dhawal Ponda</t>
  </si>
  <si>
    <t xml:space="preserve">UPI/656435409423/Mrs SEYJADI A</t>
  </si>
  <si>
    <t xml:space="preserve">nfs/NEAR DISTRICT STADIUM CHANDRAPUR</t>
  </si>
  <si>
    <t xml:space="preserve">TRANSPORT</t>
  </si>
  <si>
    <t xml:space="preserve">UPI/656414115801/ZAHID KHAN</t>
  </si>
  <si>
    <t xml:space="preserve">NIKITA PAUL SALARY</t>
  </si>
  <si>
    <t xml:space="preserve">UPI/656418406073/NIKITA BASUDEV</t>
  </si>
  <si>
    <t xml:space="preserve">RAJASHREE PAPERS</t>
  </si>
  <si>
    <t xml:space="preserve">IMPS/619817128463/RAJSHREE PAPERS</t>
  </si>
  <si>
    <t xml:space="preserve">2026-07-16</t>
  </si>
  <si>
    <t xml:space="preserve">UPI/656493317883/Samarth Book</t>
  </si>
  <si>
    <t xml:space="preserve">UPI/619771521810/SANKET MOHANDAS PIMPALKAR</t>
  </si>
  <si>
    <t xml:space="preserve">RPAY-POS/V M KOTPALLIWAR</t>
  </si>
  <si>
    <t xml:space="preserve">2026-07-15</t>
  </si>
  <si>
    <t xml:space="preserve">UPI/619735227956/LeChef Restaurant</t>
  </si>
  <si>
    <t xml:space="preserve">UPI/619731313640/OCEAN PHARMACY</t>
  </si>
  <si>
    <t xml:space="preserve">SAMITA NAGVANSHI SALARY</t>
  </si>
  <si>
    <t xml:space="preserve">UPI/619769942660/SAMITA SUNIL</t>
  </si>
  <si>
    <t xml:space="preserve">UPI/619794342829/AiSensy Communication</t>
  </si>
  <si>
    <t xml:space="preserve">JINDAL NOVELTY</t>
  </si>
  <si>
    <t xml:space="preserve">UPI/619719417721/VANSH CREATIONS</t>
  </si>
  <si>
    <t xml:space="preserve">UPI/656215819747/shubhangipimpalkar</t>
  </si>
  <si>
    <t xml:space="preserve">DIPAK KUDE SALARY</t>
  </si>
  <si>
    <t xml:space="preserve">UPI/656216809748/Deepak Baburao</t>
  </si>
  <si>
    <t xml:space="preserve">UPI/656257533406/9545988003 ptyes</t>
  </si>
  <si>
    <t xml:space="preserve">OFFICE RENT</t>
  </si>
  <si>
    <t xml:space="preserve">UPI/656264459850/MANJUSHA AJIT</t>
  </si>
  <si>
    <t xml:space="preserve">UPI/656253953073/MANJUSHA AJIT</t>
  </si>
  <si>
    <t xml:space="preserve">UPI/656215242329/MANJUSHA AJIT</t>
  </si>
  <si>
    <t xml:space="preserve">UPI/656221355260/NIKITA BASUDEV</t>
  </si>
  <si>
    <t xml:space="preserve">2026-07-14</t>
  </si>
  <si>
    <t xml:space="preserve">GANDHI CARD</t>
  </si>
  <si>
    <t xml:space="preserve">UPI/656291644262/GANDHI CARD</t>
  </si>
  <si>
    <t xml:space="preserve">UPI/656269518746/DEEPALI VINOD</t>
  </si>
  <si>
    <t xml:space="preserve">UPI/619539032603/MS GURUKRUPA</t>
  </si>
  <si>
    <t xml:space="preserve">UPI/619599838349/Google India</t>
  </si>
  <si>
    <t xml:space="preserve">UPI/619547688590/SANKET MOHANDAS PIMPALKAR</t>
  </si>
  <si>
    <t xml:space="preserve">UPI/619540165637/SHEIKH SHOHEB</t>
  </si>
  <si>
    <t xml:space="preserve">ARYAN CARD</t>
  </si>
  <si>
    <t xml:space="preserve">UPI/619589669396/MS ARYAN CARD</t>
  </si>
  <si>
    <t xml:space="preserve">UPI/619557689053/RAJESH KUSUMAKAR BHAISE</t>
  </si>
  <si>
    <t xml:space="preserve">FIZA SHEIKH SALARY</t>
  </si>
  <si>
    <t xml:space="preserve">UPI/619599070801/FIRDOS ANJUM</t>
  </si>
  <si>
    <t xml:space="preserve">2026-07-13</t>
  </si>
  <si>
    <t xml:space="preserve">UPI/619583979492/Rahat Bakery</t>
  </si>
  <si>
    <t xml:space="preserve">UPI/619567955762/saachi logistics</t>
  </si>
  <si>
    <t xml:space="preserve">UPI/619522028712/SYED FAROOQ H</t>
  </si>
  <si>
    <t xml:space="preserve">UPI/619564660216/SANKET MOHANDAS PIMPALKAR</t>
  </si>
  <si>
    <t xml:space="preserve">CREDIT CARD</t>
  </si>
  <si>
    <t xml:space="preserve">UPI/619598633219/SBI Cards</t>
  </si>
  <si>
    <t xml:space="preserve">UPI/619560145234/Bigshipin</t>
  </si>
  <si>
    <t xml:space="preserve">UPI/656007865439/SANDIP RAMDAS</t>
  </si>
  <si>
    <t xml:space="preserve">2026-07-12</t>
  </si>
  <si>
    <t xml:space="preserve">UPI/656019081313/ekart</t>
  </si>
  <si>
    <t xml:space="preserve">UPI/656045085531/Euronet Services</t>
  </si>
  <si>
    <t xml:space="preserve">UPI/656076080844/RAJ COMPUTERS</t>
  </si>
  <si>
    <t xml:space="preserve">UPI/656066165391/SANKET MOHANDAS PIMPALKAR</t>
  </si>
  <si>
    <t xml:space="preserve">UPI/656027866190/RAJ COMPUTERS</t>
  </si>
  <si>
    <t xml:space="preserve">UPI/656065478324/RAJ COMPUTERS</t>
  </si>
  <si>
    <t xml:space="preserve">UPI/619340263819/EXTRA EFFECT</t>
  </si>
  <si>
    <t xml:space="preserve">UPI/619368966858/SHEIKH SHOHEB</t>
  </si>
  <si>
    <t xml:space="preserve">2026-07-11</t>
  </si>
  <si>
    <t xml:space="preserve">UPI/619218326451/Rahat Bakery</t>
  </si>
  <si>
    <t xml:space="preserve">UPI/619212406573/Google India</t>
  </si>
  <si>
    <t xml:space="preserve">2026-07-10</t>
  </si>
  <si>
    <t xml:space="preserve">PRAJAKTA DALAL SALARY</t>
  </si>
  <si>
    <t xml:space="preserve">UPI/619207401513/Mrs PRAJAKTA</t>
  </si>
  <si>
    <t xml:space="preserve">UPI/655869691574/Sai Industries</t>
  </si>
  <si>
    <t xml:space="preserve">UPI/655766605215/SBI Cards</t>
  </si>
  <si>
    <t xml:space="preserve">UPI/655751316275/AiSensy Communication</t>
  </si>
  <si>
    <t xml:space="preserve">UPI/655762333074/SANKET MOHANDAS PIMPALKAR</t>
  </si>
  <si>
    <t xml:space="preserve">IMPS/619118477708/RAJSHREE PAPERS</t>
  </si>
  <si>
    <t xml:space="preserve">2026-07-09</t>
  </si>
  <si>
    <t xml:space="preserve">UPI/655721015228/SANDIP RAMDAS</t>
  </si>
  <si>
    <t xml:space="preserve">ID051312/09-07-26 20:36:00</t>
  </si>
  <si>
    <t xml:space="preserve">UPI/619063852515/TRUPTI SHUBHA</t>
  </si>
  <si>
    <t xml:space="preserve">2026-07-08</t>
  </si>
  <si>
    <t xml:space="preserve">UPI/619046244884/SANKET MOHANDAS PIMPALKAR</t>
  </si>
  <si>
    <t xml:space="preserve">UPI/655581633210/ELLORA STATIONERY</t>
  </si>
  <si>
    <t xml:space="preserve">YASH THERE SALARY</t>
  </si>
  <si>
    <t xml:space="preserve">UPI/655529961342/Master YASH R</t>
  </si>
  <si>
    <t xml:space="preserve">UPI/655593840681/TRUPTI SHUBHA</t>
  </si>
  <si>
    <t xml:space="preserve">UPI/655568536112/Bigshipin</t>
  </si>
  <si>
    <t xml:space="preserve">ID051312/08-07-26 21:54:13</t>
  </si>
  <si>
    <t xml:space="preserve">UPI/655590174680/Ashok Chandra</t>
  </si>
  <si>
    <t xml:space="preserve">UPI/655513485319/nileshastunka</t>
  </si>
  <si>
    <t xml:space="preserve">UPI/655599471468/SANKET MOHANDAS PIMPALKAR</t>
  </si>
  <si>
    <t xml:space="preserve">2026-07-07</t>
  </si>
  <si>
    <t xml:space="preserve">UPI/655517578332/GANDHI CARD</t>
  </si>
  <si>
    <t xml:space="preserve">ABHAY BHAISE</t>
  </si>
  <si>
    <t xml:space="preserve">UPI/655535550629/ABHAY KUSUMAKAR</t>
  </si>
  <si>
    <t xml:space="preserve">UPI/618859285424/SANKET MOHANDAS PIMPALKAR</t>
  </si>
  <si>
    <t xml:space="preserve">2026-07-06</t>
  </si>
  <si>
    <t xml:space="preserve">UPI/655468300339/ZEE BAZAR</t>
  </si>
  <si>
    <t xml:space="preserve">UPI/231404711886/Google Play</t>
  </si>
  <si>
    <t xml:space="preserve">UPI/655396185467/SANKET MOHANDAS PIMPALKAR</t>
  </si>
  <si>
    <t xml:space="preserve">UPI/618756030363/SANKET MOHANDAS PIMPALKAR</t>
  </si>
  <si>
    <t xml:space="preserve">2026-07-05</t>
  </si>
  <si>
    <t xml:space="preserve">UPI/618783614920/SBI Cards</t>
  </si>
  <si>
    <t xml:space="preserve">UPI/655303095941/Amazon Pay</t>
  </si>
  <si>
    <t xml:space="preserve">UPI/618789803609/Amazon Pay</t>
  </si>
  <si>
    <t xml:space="preserve">UPI/655323198277/7038684070 ptyes</t>
  </si>
  <si>
    <t xml:space="preserve">nfs/RAHMAT NAGAR CHANDRAPUR</t>
  </si>
  <si>
    <t xml:space="preserve">nfs/URJA NAGAR CHANDRAPUR</t>
  </si>
  <si>
    <t xml:space="preserve">RPAY-POS/MANAKCHAND JETHAMAL</t>
  </si>
  <si>
    <t xml:space="preserve">2026-07-04</t>
  </si>
  <si>
    <t xml:space="preserve">UPI/655263722189/VRUSHALI MOHANDAS</t>
  </si>
  <si>
    <t xml:space="preserve">UPI/618547742104/saachi logistics</t>
  </si>
  <si>
    <t xml:space="preserve">IMPS/618519433796/RAJSHREE PAPERS</t>
  </si>
  <si>
    <t xml:space="preserve">2026-07-03</t>
  </si>
  <si>
    <t xml:space="preserve">UPI/618567952806/SANKET MOHANDAS PIMPALKAR</t>
  </si>
  <si>
    <t xml:space="preserve">UPI/618522023230/Amazon Pay</t>
  </si>
  <si>
    <t xml:space="preserve">UPI/618505948350/MS GURUKRUPA</t>
  </si>
  <si>
    <t xml:space="preserve">UPI/618511727569/SHRI SAI KIRANA</t>
  </si>
  <si>
    <t xml:space="preserve">UPI/618508739882/PRIYANSHU LAL</t>
  </si>
  <si>
    <t xml:space="preserve">UPI/655067262799/Euronet Services</t>
  </si>
  <si>
    <t xml:space="preserve">UPI/655098265747/Euronet Services</t>
  </si>
  <si>
    <t xml:space="preserve">RITU GHOSH SALARY</t>
  </si>
  <si>
    <t xml:space="preserve">UPI/655079151643/RITU KISHOR GHOSH</t>
  </si>
  <si>
    <t xml:space="preserve">UPI/655095684428/Deepak Baburao</t>
  </si>
  <si>
    <t xml:space="preserve">UPI/655031176106/SANDIP RAMDAS</t>
  </si>
  <si>
    <t xml:space="preserve">UPI/655008282791/VAISHALI RAJESH DHAKATE</t>
  </si>
  <si>
    <t xml:space="preserve">2026-07-02</t>
  </si>
  <si>
    <t xml:space="preserve">UPI/655029069923/Mr NITIN WAMAN</t>
  </si>
  <si>
    <t xml:space="preserve">UPI/655037573572/Amazon Pay</t>
  </si>
  <si>
    <t xml:space="preserve">UPI/655002177526/saachi logistics</t>
  </si>
  <si>
    <t xml:space="preserve">UPI/654981305609/FIRDOS ANJUM</t>
  </si>
  <si>
    <t xml:space="preserve">UPI/618391976592/ZAHID KHAN</t>
  </si>
  <si>
    <t xml:space="preserve">UPI/618396761991/Bigshipin</t>
  </si>
  <si>
    <t xml:space="preserve">SHRAWANI KSHIRSAGAR SALARY</t>
  </si>
  <si>
    <t xml:space="preserve">UPI/654999012497/SHRAWANI PRASAD</t>
  </si>
  <si>
    <t xml:space="preserve">UPI/654987002839/NIKITA BASUDEV</t>
  </si>
  <si>
    <t xml:space="preserve">UPI/654994706382/DIVYA RAMESH THERE</t>
  </si>
  <si>
    <t xml:space="preserve">SHILPA KHANDARE SALARY</t>
  </si>
  <si>
    <t xml:space="preserve">UPI/654977000454/Rahul Dilip K</t>
  </si>
  <si>
    <t xml:space="preserve">UPI/654925207054/VAMSHI SHYAM</t>
  </si>
  <si>
    <t xml:space="preserve">UPI/654923210273/Master YASH R</t>
  </si>
  <si>
    <t xml:space="preserve">AKANSHA TOTAWAR SALARY</t>
  </si>
  <si>
    <t xml:space="preserve">UPI/618398394062/Akansha Umesh</t>
  </si>
  <si>
    <t xml:space="preserve">SONALI HADASE SALARY</t>
  </si>
  <si>
    <t xml:space="preserve">UPI/654921714845/SONALI PRAVIN</t>
  </si>
  <si>
    <t xml:space="preserve">UPI/654991611351/SAMITA SUNIL</t>
  </si>
  <si>
    <t xml:space="preserve">UPI/618380291555/MOHAN LAL GUR</t>
  </si>
  <si>
    <t xml:space="preserve">2026-07-01</t>
  </si>
  <si>
    <t xml:space="preserve">UPI/618300186288/Amazon Pay</t>
  </si>
  <si>
    <t xml:space="preserve">UPI/618257611004/EXTRA EFFECT</t>
  </si>
  <si>
    <t xml:space="preserve">SN PRINTER</t>
  </si>
  <si>
    <t xml:space="preserve">UPI/618209623757/SACHIN SHRIHARI</t>
  </si>
  <si>
    <t xml:space="preserve">IMPS/618219409218/Prajakta/MAH</t>
  </si>
  <si>
    <t xml:space="preserve">ID051312/01-07-26 19:34:30</t>
  </si>
  <si>
    <t xml:space="preserve">UPI/618223425407/Sayyed Waseem</t>
  </si>
  <si>
    <t xml:space="preserve">BALANCE</t>
  </si>
  <si>
    <t xml:space="preserve">Employee</t>
  </si>
  <si>
    <t xml:space="preserve">Designation</t>
  </si>
  <si>
    <t xml:space="preserve">Note</t>
  </si>
  <si>
    <t xml:space="preserve">VAISHALI DHAKATE</t>
  </si>
  <si>
    <t xml:space="preserve">SALES MANAGER</t>
  </si>
  <si>
    <t xml:space="preserve">No login account — can't be tagged</t>
  </si>
  <si>
    <t xml:space="preserve">test</t>
  </si>
  <si>
    <t xml:space="preserve">abc</t>
  </si>
  <si>
    <t xml:space="preserve">Sanket (Owner)</t>
  </si>
  <si>
    <t xml:space="preserve">-</t>
  </si>
  <si>
    <t xml:space="preserve">No fixed salary — bank-tagged only, none tagged for July 2026</t>
  </si>
  <si>
    <t xml:space="preserve">Agent</t>
  </si>
  <si>
    <t xml:space="preserve">DIVYA THERE</t>
  </si>
  <si>
    <t xml:space="preserve">RITU GHOSH</t>
  </si>
  <si>
    <t xml:space="preserve">AAKANSHA TOTAWAR</t>
  </si>
  <si>
    <t xml:space="preserve">Sanket Admin</t>
  </si>
  <si>
    <t xml:space="preserve">SHRAWANI KSHIRSAGAR</t>
  </si>
  <si>
    <t xml:space="preserve">PRIYA KOMMU</t>
  </si>
  <si>
    <t xml:space="preserve">SONALI HADASE</t>
  </si>
  <si>
    <t xml:space="preserve">GULFAM SHEIKH</t>
  </si>
  <si>
    <t xml:space="preserve">FIZA SHEIKH</t>
  </si>
  <si>
    <t xml:space="preserve">PRAJAKTA DALAL</t>
  </si>
  <si>
    <t xml:space="preserve">SAMITA NAGWANSHI</t>
  </si>
  <si>
    <t xml:space="preserve">NIKITA PAUL</t>
  </si>
  <si>
    <t xml:space="preserve">Paid/verified via the Commission tab's existing 'Mark as Paid' flow.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</si>
</sst>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₹#,##0.00;&quot;(₹&quot;#,##0.0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B00020"/>
      <name val="Arial"/>
      <family val="0"/>
      <charset val="1"/>
    </font>
    <font>
      <b val="true"/>
      <sz val="11"/>
      <color rgb="FF12762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CE6F1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127622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/>
      <c r="B4" s="3" t="s">
        <v>2</v>
      </c>
      <c r="C4" s="3" t="s">
        <v>3</v>
      </c>
      <c r="D4" s="3" t="s">
        <v>4</v>
      </c>
    </row>
    <row r="5" customFormat="false" ht="15" hidden="false" customHeight="false" outlineLevel="0" collapsed="false">
      <c r="A5" s="4" t="s">
        <v>5</v>
      </c>
      <c r="B5" s="5" t="n">
        <v>1004816.28</v>
      </c>
      <c r="C5" s="5" t="n">
        <v>13390.9</v>
      </c>
      <c r="D5" s="5" t="n">
        <v>991425.38</v>
      </c>
    </row>
    <row r="6" customFormat="false" ht="15" hidden="false" customHeight="false" outlineLevel="0" collapsed="false">
      <c r="A6" s="4" t="s">
        <v>6</v>
      </c>
      <c r="B6" s="5" t="n">
        <v>0</v>
      </c>
      <c r="C6" s="5" t="n">
        <v>0</v>
      </c>
      <c r="D6" s="5" t="n">
        <v>0</v>
      </c>
    </row>
    <row r="7" customFormat="false" ht="15" hidden="false" customHeight="false" outlineLevel="0" collapsed="false">
      <c r="A7" s="4" t="s">
        <v>7</v>
      </c>
      <c r="B7" s="5" t="n">
        <v>5000</v>
      </c>
      <c r="C7" s="5" t="n">
        <v>0</v>
      </c>
      <c r="D7" s="5" t="n">
        <v>5000</v>
      </c>
    </row>
    <row r="8" customFormat="false" ht="15" hidden="false" customHeight="false" outlineLevel="0" collapsed="false">
      <c r="A8" s="6" t="s">
        <v>8</v>
      </c>
      <c r="B8" s="7" t="n">
        <v>1009816.28</v>
      </c>
      <c r="C8" s="7" t="n">
        <v>13390.9</v>
      </c>
      <c r="D8" s="7" t="n">
        <v>996425.38</v>
      </c>
    </row>
    <row r="9" customFormat="false" ht="15" hidden="false" customHeight="false" outlineLevel="0" collapsed="false">
      <c r="A9" s="8" t="s">
        <v>9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42"/>
  </cols>
  <sheetData>
    <row r="1" customFormat="false" ht="15" hidden="false" customHeight="false" outlineLevel="0" collapsed="false">
      <c r="A1" s="9" t="s">
        <v>10</v>
      </c>
      <c r="B1" s="9" t="s">
        <v>11</v>
      </c>
      <c r="C1" s="9" t="s">
        <v>12</v>
      </c>
      <c r="D1" s="9" t="s">
        <v>13</v>
      </c>
      <c r="E1" s="9" t="s">
        <v>14</v>
      </c>
      <c r="F1" s="9" t="s">
        <v>15</v>
      </c>
      <c r="G1" s="9" t="s">
        <v>16</v>
      </c>
    </row>
    <row r="2" customFormat="false" ht="15" hidden="false" customHeight="false" outlineLevel="0" collapsed="false">
      <c r="A2" s="4" t="s">
        <v>17</v>
      </c>
      <c r="B2" s="4" t="s">
        <v>18</v>
      </c>
      <c r="C2" s="5" t="n">
        <v>4000</v>
      </c>
      <c r="D2" s="10" t="s">
        <v>19</v>
      </c>
      <c r="E2" s="4"/>
      <c r="F2" s="4"/>
      <c r="G2" s="4" t="s">
        <v>20</v>
      </c>
    </row>
    <row r="3" customFormat="false" ht="15" hidden="false" customHeight="false" outlineLevel="0" collapsed="false">
      <c r="A3" s="4" t="s">
        <v>17</v>
      </c>
      <c r="B3" s="4" t="s">
        <v>21</v>
      </c>
      <c r="C3" s="5" t="n">
        <v>10000</v>
      </c>
      <c r="D3" s="10" t="s">
        <v>19</v>
      </c>
      <c r="E3" s="4"/>
      <c r="F3" s="4"/>
      <c r="G3" s="4" t="s">
        <v>22</v>
      </c>
    </row>
    <row r="4" customFormat="false" ht="15" hidden="false" customHeight="false" outlineLevel="0" collapsed="false">
      <c r="A4" s="4" t="s">
        <v>17</v>
      </c>
      <c r="B4" s="4" t="s">
        <v>23</v>
      </c>
      <c r="C4" s="5" t="n">
        <v>12000</v>
      </c>
      <c r="D4" s="10" t="s">
        <v>19</v>
      </c>
      <c r="E4" s="4"/>
      <c r="F4" s="4"/>
      <c r="G4" s="4" t="s">
        <v>24</v>
      </c>
    </row>
    <row r="5" customFormat="false" ht="15" hidden="false" customHeight="false" outlineLevel="0" collapsed="false">
      <c r="A5" s="4" t="s">
        <v>17</v>
      </c>
      <c r="B5" s="4" t="s">
        <v>25</v>
      </c>
      <c r="C5" s="5" t="n">
        <v>14000</v>
      </c>
      <c r="D5" s="10" t="s">
        <v>19</v>
      </c>
      <c r="E5" s="4"/>
      <c r="F5" s="4"/>
      <c r="G5" s="4" t="s">
        <v>26</v>
      </c>
    </row>
    <row r="6" customFormat="false" ht="15" hidden="false" customHeight="false" outlineLevel="0" collapsed="false">
      <c r="A6" s="4" t="s">
        <v>17</v>
      </c>
      <c r="B6" s="4" t="s">
        <v>23</v>
      </c>
      <c r="C6" s="5" t="n">
        <v>2000</v>
      </c>
      <c r="D6" s="10" t="s">
        <v>19</v>
      </c>
      <c r="E6" s="4"/>
      <c r="F6" s="4"/>
      <c r="G6" s="4" t="s">
        <v>27</v>
      </c>
    </row>
    <row r="7" customFormat="false" ht="15" hidden="false" customHeight="false" outlineLevel="0" collapsed="false">
      <c r="A7" s="4" t="s">
        <v>17</v>
      </c>
      <c r="B7" s="4" t="s">
        <v>23</v>
      </c>
      <c r="C7" s="5" t="n">
        <v>4000</v>
      </c>
      <c r="D7" s="10" t="s">
        <v>19</v>
      </c>
      <c r="E7" s="4"/>
      <c r="F7" s="4"/>
      <c r="G7" s="4" t="s">
        <v>28</v>
      </c>
    </row>
    <row r="8" customFormat="false" ht="15" hidden="false" customHeight="false" outlineLevel="0" collapsed="false">
      <c r="A8" s="4" t="s">
        <v>29</v>
      </c>
      <c r="B8" s="4" t="s">
        <v>30</v>
      </c>
      <c r="C8" s="5" t="n">
        <v>70</v>
      </c>
      <c r="D8" s="10" t="s">
        <v>19</v>
      </c>
      <c r="E8" s="4" t="s">
        <v>31</v>
      </c>
      <c r="F8" s="4" t="s">
        <v>32</v>
      </c>
      <c r="G8" s="4" t="s">
        <v>33</v>
      </c>
    </row>
    <row r="9" customFormat="false" ht="15" hidden="false" customHeight="false" outlineLevel="0" collapsed="false">
      <c r="A9" s="4" t="s">
        <v>34</v>
      </c>
      <c r="B9" s="4" t="s">
        <v>35</v>
      </c>
      <c r="C9" s="5" t="n">
        <v>100</v>
      </c>
      <c r="D9" s="10" t="s">
        <v>19</v>
      </c>
      <c r="E9" s="4"/>
      <c r="F9" s="4" t="s">
        <v>32</v>
      </c>
      <c r="G9" s="4" t="s">
        <v>36</v>
      </c>
    </row>
    <row r="10" customFormat="false" ht="15" hidden="false" customHeight="false" outlineLevel="0" collapsed="false">
      <c r="A10" s="4" t="s">
        <v>34</v>
      </c>
      <c r="B10" s="4" t="s">
        <v>37</v>
      </c>
      <c r="C10" s="5" t="n">
        <v>8000</v>
      </c>
      <c r="D10" s="10" t="s">
        <v>19</v>
      </c>
      <c r="E10" s="4" t="s">
        <v>31</v>
      </c>
      <c r="F10" s="4" t="s">
        <v>32</v>
      </c>
      <c r="G10" s="4" t="s">
        <v>38</v>
      </c>
    </row>
    <row r="11" customFormat="false" ht="15" hidden="false" customHeight="false" outlineLevel="0" collapsed="false">
      <c r="A11" s="4" t="s">
        <v>34</v>
      </c>
      <c r="B11" s="4" t="s">
        <v>39</v>
      </c>
      <c r="C11" s="5" t="n">
        <v>15000</v>
      </c>
      <c r="D11" s="10" t="s">
        <v>19</v>
      </c>
      <c r="E11" s="4"/>
      <c r="F11" s="4" t="s">
        <v>32</v>
      </c>
      <c r="G11" s="4" t="s">
        <v>40</v>
      </c>
    </row>
    <row r="12" customFormat="false" ht="15" hidden="false" customHeight="false" outlineLevel="0" collapsed="false">
      <c r="A12" s="4" t="s">
        <v>34</v>
      </c>
      <c r="B12" s="4" t="s">
        <v>23</v>
      </c>
      <c r="C12" s="5" t="n">
        <v>1000</v>
      </c>
      <c r="D12" s="11" t="s">
        <v>41</v>
      </c>
      <c r="E12" s="4"/>
      <c r="F12" s="4" t="s">
        <v>42</v>
      </c>
      <c r="G12" s="4" t="s">
        <v>43</v>
      </c>
    </row>
    <row r="13" customFormat="false" ht="15" hidden="false" customHeight="false" outlineLevel="0" collapsed="false">
      <c r="A13" s="4" t="s">
        <v>34</v>
      </c>
      <c r="B13" s="4" t="s">
        <v>44</v>
      </c>
      <c r="C13" s="5" t="n">
        <v>10000</v>
      </c>
      <c r="D13" s="11" t="s">
        <v>41</v>
      </c>
      <c r="E13" s="4"/>
      <c r="F13" s="4" t="s">
        <v>42</v>
      </c>
      <c r="G13" s="4" t="s">
        <v>45</v>
      </c>
    </row>
    <row r="14" customFormat="false" ht="15" hidden="false" customHeight="false" outlineLevel="0" collapsed="false">
      <c r="A14" s="4" t="s">
        <v>46</v>
      </c>
      <c r="B14" s="4" t="s">
        <v>47</v>
      </c>
      <c r="C14" s="5" t="n">
        <v>2000</v>
      </c>
      <c r="D14" s="10" t="s">
        <v>19</v>
      </c>
      <c r="E14" s="4"/>
      <c r="F14" s="4"/>
      <c r="G14" s="4" t="s">
        <v>48</v>
      </c>
    </row>
    <row r="15" customFormat="false" ht="15" hidden="false" customHeight="false" outlineLevel="0" collapsed="false">
      <c r="A15" s="4" t="s">
        <v>46</v>
      </c>
      <c r="B15" s="4" t="s">
        <v>49</v>
      </c>
      <c r="C15" s="5" t="n">
        <v>1770</v>
      </c>
      <c r="D15" s="11" t="s">
        <v>41</v>
      </c>
      <c r="E15" s="4"/>
      <c r="F15" s="4" t="s">
        <v>42</v>
      </c>
      <c r="G15" s="4" t="s">
        <v>50</v>
      </c>
    </row>
    <row r="16" customFormat="false" ht="15" hidden="false" customHeight="false" outlineLevel="0" collapsed="false">
      <c r="A16" s="4" t="s">
        <v>46</v>
      </c>
      <c r="B16" s="4" t="s">
        <v>51</v>
      </c>
      <c r="C16" s="5" t="n">
        <v>20000</v>
      </c>
      <c r="D16" s="10" t="s">
        <v>19</v>
      </c>
      <c r="E16" s="4"/>
      <c r="F16" s="4"/>
      <c r="G16" s="4" t="s">
        <v>52</v>
      </c>
    </row>
    <row r="17" customFormat="false" ht="15" hidden="false" customHeight="false" outlineLevel="0" collapsed="false">
      <c r="A17" s="4" t="s">
        <v>46</v>
      </c>
      <c r="B17" s="4" t="s">
        <v>53</v>
      </c>
      <c r="C17" s="5" t="n">
        <v>300.9</v>
      </c>
      <c r="D17" s="11" t="s">
        <v>41</v>
      </c>
      <c r="E17" s="4"/>
      <c r="F17" s="4" t="s">
        <v>42</v>
      </c>
      <c r="G17" s="4" t="s">
        <v>54</v>
      </c>
    </row>
    <row r="18" customFormat="false" ht="15" hidden="false" customHeight="false" outlineLevel="0" collapsed="false">
      <c r="A18" s="4" t="s">
        <v>46</v>
      </c>
      <c r="B18" s="4" t="s">
        <v>18</v>
      </c>
      <c r="C18" s="5" t="n">
        <v>3917</v>
      </c>
      <c r="D18" s="10" t="s">
        <v>19</v>
      </c>
      <c r="E18" s="4"/>
      <c r="F18" s="4" t="s">
        <v>32</v>
      </c>
      <c r="G18" s="4" t="s">
        <v>55</v>
      </c>
    </row>
    <row r="19" customFormat="false" ht="15" hidden="false" customHeight="false" outlineLevel="0" collapsed="false">
      <c r="A19" s="4" t="s">
        <v>46</v>
      </c>
      <c r="B19" s="4" t="s">
        <v>56</v>
      </c>
      <c r="C19" s="5" t="n">
        <v>10000</v>
      </c>
      <c r="D19" s="10" t="s">
        <v>19</v>
      </c>
      <c r="E19" s="4"/>
      <c r="F19" s="4"/>
      <c r="G19" s="4" t="s">
        <v>57</v>
      </c>
    </row>
    <row r="20" customFormat="false" ht="15" hidden="false" customHeight="false" outlineLevel="0" collapsed="false">
      <c r="A20" s="4" t="s">
        <v>46</v>
      </c>
      <c r="B20" s="4" t="s">
        <v>58</v>
      </c>
      <c r="C20" s="5" t="n">
        <v>10000</v>
      </c>
      <c r="D20" s="10" t="s">
        <v>19</v>
      </c>
      <c r="E20" s="4"/>
      <c r="F20" s="4"/>
      <c r="G20" s="4" t="s">
        <v>59</v>
      </c>
    </row>
    <row r="21" customFormat="false" ht="15" hidden="false" customHeight="false" outlineLevel="0" collapsed="false">
      <c r="A21" s="4" t="s">
        <v>46</v>
      </c>
      <c r="B21" s="4" t="s">
        <v>60</v>
      </c>
      <c r="C21" s="5" t="n">
        <v>320</v>
      </c>
      <c r="D21" s="11" t="s">
        <v>41</v>
      </c>
      <c r="E21" s="4"/>
      <c r="F21" s="4" t="s">
        <v>42</v>
      </c>
      <c r="G21" s="4" t="s">
        <v>61</v>
      </c>
    </row>
    <row r="22" customFormat="false" ht="15" hidden="false" customHeight="false" outlineLevel="0" collapsed="false">
      <c r="A22" s="4" t="s">
        <v>62</v>
      </c>
      <c r="B22" s="4" t="s">
        <v>63</v>
      </c>
      <c r="C22" s="5" t="n">
        <v>210</v>
      </c>
      <c r="D22" s="10" t="s">
        <v>19</v>
      </c>
      <c r="E22" s="4"/>
      <c r="F22" s="4" t="s">
        <v>32</v>
      </c>
      <c r="G22" s="4" t="s">
        <v>64</v>
      </c>
    </row>
    <row r="23" customFormat="false" ht="15" hidden="false" customHeight="false" outlineLevel="0" collapsed="false">
      <c r="A23" s="4" t="s">
        <v>62</v>
      </c>
      <c r="B23" s="4" t="s">
        <v>65</v>
      </c>
      <c r="C23" s="5" t="n">
        <v>1000</v>
      </c>
      <c r="D23" s="10" t="s">
        <v>19</v>
      </c>
      <c r="E23" s="4"/>
      <c r="F23" s="4"/>
      <c r="G23" s="4" t="s">
        <v>66</v>
      </c>
    </row>
    <row r="24" customFormat="false" ht="15" hidden="false" customHeight="false" outlineLevel="0" collapsed="false">
      <c r="A24" s="4" t="s">
        <v>62</v>
      </c>
      <c r="B24" s="4" t="s">
        <v>67</v>
      </c>
      <c r="C24" s="5" t="n">
        <v>10000</v>
      </c>
      <c r="D24" s="10" t="s">
        <v>19</v>
      </c>
      <c r="E24" s="4"/>
      <c r="F24" s="4"/>
      <c r="G24" s="4" t="s">
        <v>68</v>
      </c>
    </row>
    <row r="25" customFormat="false" ht="15" hidden="false" customHeight="false" outlineLevel="0" collapsed="false">
      <c r="A25" s="4" t="s">
        <v>62</v>
      </c>
      <c r="B25" s="4" t="s">
        <v>69</v>
      </c>
      <c r="C25" s="5" t="n">
        <v>4263</v>
      </c>
      <c r="D25" s="10" t="s">
        <v>19</v>
      </c>
      <c r="E25" s="4"/>
      <c r="F25" s="4"/>
      <c r="G25" s="4" t="s">
        <v>70</v>
      </c>
    </row>
    <row r="26" customFormat="false" ht="15" hidden="false" customHeight="false" outlineLevel="0" collapsed="false">
      <c r="A26" s="4" t="s">
        <v>62</v>
      </c>
      <c r="B26" s="4" t="s">
        <v>69</v>
      </c>
      <c r="C26" s="5" t="n">
        <v>4000</v>
      </c>
      <c r="D26" s="10" t="s">
        <v>19</v>
      </c>
      <c r="E26" s="4"/>
      <c r="F26" s="4"/>
      <c r="G26" s="4" t="s">
        <v>71</v>
      </c>
    </row>
    <row r="27" customFormat="false" ht="15" hidden="false" customHeight="false" outlineLevel="0" collapsed="false">
      <c r="A27" s="4" t="s">
        <v>72</v>
      </c>
      <c r="B27" s="4" t="s">
        <v>49</v>
      </c>
      <c r="C27" s="5" t="n">
        <v>1770</v>
      </c>
      <c r="D27" s="10" t="s">
        <v>19</v>
      </c>
      <c r="E27" s="4"/>
      <c r="F27" s="4"/>
      <c r="G27" s="4" t="s">
        <v>73</v>
      </c>
    </row>
    <row r="28" customFormat="false" ht="15" hidden="false" customHeight="false" outlineLevel="0" collapsed="false">
      <c r="A28" s="4" t="s">
        <v>72</v>
      </c>
      <c r="B28" s="4" t="s">
        <v>65</v>
      </c>
      <c r="C28" s="5" t="n">
        <v>500</v>
      </c>
      <c r="D28" s="10" t="s">
        <v>19</v>
      </c>
      <c r="E28" s="4"/>
      <c r="F28" s="4"/>
      <c r="G28" s="4" t="s">
        <v>74</v>
      </c>
    </row>
    <row r="29" customFormat="false" ht="15" hidden="false" customHeight="false" outlineLevel="0" collapsed="false">
      <c r="A29" s="4" t="s">
        <v>72</v>
      </c>
      <c r="B29" s="4" t="s">
        <v>75</v>
      </c>
      <c r="C29" s="5" t="n">
        <v>200</v>
      </c>
      <c r="D29" s="10" t="s">
        <v>19</v>
      </c>
      <c r="E29" s="4"/>
      <c r="F29" s="4" t="s">
        <v>32</v>
      </c>
      <c r="G29" s="4" t="s">
        <v>76</v>
      </c>
    </row>
    <row r="30" customFormat="false" ht="15" hidden="false" customHeight="false" outlineLevel="0" collapsed="false">
      <c r="A30" s="4" t="s">
        <v>72</v>
      </c>
      <c r="B30" s="4" t="s">
        <v>69</v>
      </c>
      <c r="C30" s="5" t="n">
        <v>10000</v>
      </c>
      <c r="D30" s="10" t="s">
        <v>19</v>
      </c>
      <c r="E30" s="4"/>
      <c r="F30" s="4"/>
      <c r="G30" s="4" t="s">
        <v>77</v>
      </c>
    </row>
    <row r="31" customFormat="false" ht="15" hidden="false" customHeight="false" outlineLevel="0" collapsed="false">
      <c r="A31" s="4" t="s">
        <v>72</v>
      </c>
      <c r="B31" s="4" t="s">
        <v>69</v>
      </c>
      <c r="C31" s="5" t="n">
        <v>10000</v>
      </c>
      <c r="D31" s="10" t="s">
        <v>19</v>
      </c>
      <c r="E31" s="4"/>
      <c r="F31" s="4"/>
      <c r="G31" s="4" t="s">
        <v>78</v>
      </c>
    </row>
    <row r="32" customFormat="false" ht="15" hidden="false" customHeight="false" outlineLevel="0" collapsed="false">
      <c r="A32" s="4" t="s">
        <v>79</v>
      </c>
      <c r="B32" s="4" t="s">
        <v>80</v>
      </c>
      <c r="C32" s="5" t="n">
        <v>45022</v>
      </c>
      <c r="D32" s="10" t="s">
        <v>19</v>
      </c>
      <c r="E32" s="4"/>
      <c r="F32" s="4"/>
      <c r="G32" s="4" t="s">
        <v>81</v>
      </c>
    </row>
    <row r="33" customFormat="false" ht="15" hidden="false" customHeight="false" outlineLevel="0" collapsed="false">
      <c r="A33" s="4" t="s">
        <v>79</v>
      </c>
      <c r="B33" s="4" t="s">
        <v>82</v>
      </c>
      <c r="C33" s="5" t="n">
        <v>3122</v>
      </c>
      <c r="D33" s="10" t="s">
        <v>19</v>
      </c>
      <c r="E33" s="4"/>
      <c r="F33" s="4"/>
      <c r="G33" s="4" t="s">
        <v>83</v>
      </c>
    </row>
    <row r="34" customFormat="false" ht="15" hidden="false" customHeight="false" outlineLevel="0" collapsed="false">
      <c r="A34" s="4" t="s">
        <v>79</v>
      </c>
      <c r="B34" s="4" t="s">
        <v>23</v>
      </c>
      <c r="C34" s="5" t="n">
        <v>12500</v>
      </c>
      <c r="D34" s="10" t="s">
        <v>19</v>
      </c>
      <c r="E34" s="4"/>
      <c r="F34" s="4"/>
      <c r="G34" s="4" t="s">
        <v>84</v>
      </c>
    </row>
    <row r="35" customFormat="false" ht="15" hidden="false" customHeight="false" outlineLevel="0" collapsed="false">
      <c r="A35" s="4" t="s">
        <v>79</v>
      </c>
      <c r="B35" s="4" t="s">
        <v>47</v>
      </c>
      <c r="C35" s="5" t="n">
        <v>3000</v>
      </c>
      <c r="D35" s="10" t="s">
        <v>19</v>
      </c>
      <c r="E35" s="4"/>
      <c r="F35" s="4"/>
      <c r="G35" s="4" t="s">
        <v>85</v>
      </c>
    </row>
    <row r="36" customFormat="false" ht="15" hidden="false" customHeight="false" outlineLevel="0" collapsed="false">
      <c r="A36" s="4" t="s">
        <v>86</v>
      </c>
      <c r="B36" s="4" t="s">
        <v>82</v>
      </c>
      <c r="C36" s="5" t="n">
        <v>300</v>
      </c>
      <c r="D36" s="10" t="s">
        <v>19</v>
      </c>
      <c r="E36" s="4"/>
      <c r="F36" s="4"/>
      <c r="G36" s="4" t="s">
        <v>87</v>
      </c>
    </row>
    <row r="37" customFormat="false" ht="15" hidden="false" customHeight="false" outlineLevel="0" collapsed="false">
      <c r="A37" s="4" t="s">
        <v>86</v>
      </c>
      <c r="B37" s="4" t="s">
        <v>37</v>
      </c>
      <c r="C37" s="5" t="n">
        <v>750</v>
      </c>
      <c r="D37" s="10" t="s">
        <v>19</v>
      </c>
      <c r="E37" s="4"/>
      <c r="F37" s="4"/>
      <c r="G37" s="4" t="s">
        <v>88</v>
      </c>
    </row>
    <row r="38" customFormat="false" ht="15" hidden="false" customHeight="false" outlineLevel="0" collapsed="false">
      <c r="A38" s="4" t="s">
        <v>86</v>
      </c>
      <c r="B38" s="4" t="s">
        <v>53</v>
      </c>
      <c r="C38" s="5" t="n">
        <v>300.9</v>
      </c>
      <c r="D38" s="10" t="s">
        <v>19</v>
      </c>
      <c r="E38" s="4"/>
      <c r="F38" s="4"/>
      <c r="G38" s="4" t="s">
        <v>89</v>
      </c>
    </row>
    <row r="39" customFormat="false" ht="15" hidden="false" customHeight="false" outlineLevel="0" collapsed="false">
      <c r="A39" s="4" t="s">
        <v>86</v>
      </c>
      <c r="B39" s="4" t="s">
        <v>56</v>
      </c>
      <c r="C39" s="5" t="n">
        <v>4348</v>
      </c>
      <c r="D39" s="10" t="s">
        <v>19</v>
      </c>
      <c r="E39" s="4"/>
      <c r="F39" s="4"/>
      <c r="G39" s="4" t="s">
        <v>90</v>
      </c>
    </row>
    <row r="40" customFormat="false" ht="15" hidden="false" customHeight="false" outlineLevel="0" collapsed="false">
      <c r="A40" s="4" t="s">
        <v>86</v>
      </c>
      <c r="B40" s="4" t="s">
        <v>91</v>
      </c>
      <c r="C40" s="5" t="n">
        <v>3031</v>
      </c>
      <c r="D40" s="10" t="s">
        <v>19</v>
      </c>
      <c r="E40" s="4"/>
      <c r="F40" s="4"/>
      <c r="G40" s="4" t="s">
        <v>92</v>
      </c>
    </row>
    <row r="41" customFormat="false" ht="15" hidden="false" customHeight="false" outlineLevel="0" collapsed="false">
      <c r="A41" s="4" t="s">
        <v>93</v>
      </c>
      <c r="B41" s="4" t="s">
        <v>39</v>
      </c>
      <c r="C41" s="5" t="n">
        <v>15000</v>
      </c>
      <c r="D41" s="10" t="s">
        <v>19</v>
      </c>
      <c r="E41" s="4"/>
      <c r="F41" s="4"/>
      <c r="G41" s="4" t="s">
        <v>94</v>
      </c>
    </row>
    <row r="42" customFormat="false" ht="15" hidden="false" customHeight="false" outlineLevel="0" collapsed="false">
      <c r="A42" s="4" t="s">
        <v>93</v>
      </c>
      <c r="B42" s="4" t="s">
        <v>23</v>
      </c>
      <c r="C42" s="5" t="n">
        <v>1000</v>
      </c>
      <c r="D42" s="10" t="s">
        <v>19</v>
      </c>
      <c r="E42" s="4"/>
      <c r="F42" s="4"/>
      <c r="G42" s="4" t="s">
        <v>95</v>
      </c>
    </row>
    <row r="43" customFormat="false" ht="15" hidden="false" customHeight="false" outlineLevel="0" collapsed="false">
      <c r="A43" s="4" t="s">
        <v>93</v>
      </c>
      <c r="B43" s="4" t="s">
        <v>60</v>
      </c>
      <c r="C43" s="5" t="n">
        <v>80</v>
      </c>
      <c r="D43" s="10" t="s">
        <v>19</v>
      </c>
      <c r="E43" s="4"/>
      <c r="F43" s="4"/>
      <c r="G43" s="4" t="s">
        <v>96</v>
      </c>
    </row>
    <row r="44" customFormat="false" ht="15" hidden="false" customHeight="false" outlineLevel="0" collapsed="false">
      <c r="A44" s="4" t="s">
        <v>93</v>
      </c>
      <c r="B44" s="4" t="s">
        <v>97</v>
      </c>
      <c r="C44" s="5" t="n">
        <v>12740</v>
      </c>
      <c r="D44" s="10" t="s">
        <v>19</v>
      </c>
      <c r="E44" s="4"/>
      <c r="F44" s="4"/>
      <c r="G44" s="4" t="s">
        <v>98</v>
      </c>
    </row>
    <row r="45" customFormat="false" ht="15" hidden="false" customHeight="false" outlineLevel="0" collapsed="false">
      <c r="A45" s="4" t="s">
        <v>93</v>
      </c>
      <c r="B45" s="4" t="s">
        <v>63</v>
      </c>
      <c r="C45" s="5" t="n">
        <v>120</v>
      </c>
      <c r="D45" s="10" t="s">
        <v>19</v>
      </c>
      <c r="E45" s="4"/>
      <c r="F45" s="4"/>
      <c r="G45" s="4" t="s">
        <v>99</v>
      </c>
    </row>
    <row r="46" customFormat="false" ht="15" hidden="false" customHeight="false" outlineLevel="0" collapsed="false">
      <c r="A46" s="4" t="s">
        <v>93</v>
      </c>
      <c r="B46" s="4" t="s">
        <v>23</v>
      </c>
      <c r="C46" s="5" t="n">
        <v>1000</v>
      </c>
      <c r="D46" s="10" t="s">
        <v>19</v>
      </c>
      <c r="E46" s="4"/>
      <c r="F46" s="4"/>
      <c r="G46" s="4" t="s">
        <v>100</v>
      </c>
    </row>
    <row r="47" customFormat="false" ht="15" hidden="false" customHeight="false" outlineLevel="0" collapsed="false">
      <c r="A47" s="4" t="s">
        <v>93</v>
      </c>
      <c r="B47" s="4" t="s">
        <v>101</v>
      </c>
      <c r="C47" s="5" t="n">
        <v>2000</v>
      </c>
      <c r="D47" s="10" t="s">
        <v>19</v>
      </c>
      <c r="E47" s="4"/>
      <c r="F47" s="4"/>
      <c r="G47" s="4" t="s">
        <v>102</v>
      </c>
    </row>
    <row r="48" customFormat="false" ht="15" hidden="false" customHeight="false" outlineLevel="0" collapsed="false">
      <c r="A48" s="4" t="s">
        <v>93</v>
      </c>
      <c r="B48" s="4" t="s">
        <v>103</v>
      </c>
      <c r="C48" s="5" t="n">
        <v>11850</v>
      </c>
      <c r="D48" s="10" t="s">
        <v>19</v>
      </c>
      <c r="E48" s="4"/>
      <c r="F48" s="4"/>
      <c r="G48" s="4" t="s">
        <v>104</v>
      </c>
    </row>
    <row r="49" customFormat="false" ht="15" hidden="false" customHeight="false" outlineLevel="0" collapsed="false">
      <c r="A49" s="4" t="s">
        <v>93</v>
      </c>
      <c r="B49" s="4" t="s">
        <v>105</v>
      </c>
      <c r="C49" s="5" t="n">
        <v>33099</v>
      </c>
      <c r="D49" s="10" t="s">
        <v>19</v>
      </c>
      <c r="E49" s="4"/>
      <c r="F49" s="4"/>
      <c r="G49" s="4" t="s">
        <v>106</v>
      </c>
    </row>
    <row r="50" customFormat="false" ht="15" hidden="false" customHeight="false" outlineLevel="0" collapsed="false">
      <c r="A50" s="4" t="s">
        <v>107</v>
      </c>
      <c r="B50" s="4" t="s">
        <v>63</v>
      </c>
      <c r="C50" s="5" t="n">
        <v>170</v>
      </c>
      <c r="D50" s="10" t="s">
        <v>19</v>
      </c>
      <c r="E50" s="4"/>
      <c r="F50" s="4"/>
      <c r="G50" s="4" t="s">
        <v>108</v>
      </c>
    </row>
    <row r="51" customFormat="false" ht="15" hidden="false" customHeight="false" outlineLevel="0" collapsed="false">
      <c r="A51" s="4" t="s">
        <v>107</v>
      </c>
      <c r="B51" s="4" t="s">
        <v>23</v>
      </c>
      <c r="C51" s="5" t="n">
        <v>3000</v>
      </c>
      <c r="D51" s="10" t="s">
        <v>19</v>
      </c>
      <c r="E51" s="4"/>
      <c r="F51" s="4"/>
      <c r="G51" s="4" t="s">
        <v>109</v>
      </c>
    </row>
    <row r="52" customFormat="false" ht="15" hidden="false" customHeight="false" outlineLevel="0" collapsed="false">
      <c r="A52" s="4" t="s">
        <v>107</v>
      </c>
      <c r="B52" s="4" t="s">
        <v>65</v>
      </c>
      <c r="C52" s="5" t="n">
        <v>885</v>
      </c>
      <c r="D52" s="10" t="s">
        <v>19</v>
      </c>
      <c r="E52" s="4"/>
      <c r="F52" s="4"/>
      <c r="G52" s="4" t="s">
        <v>110</v>
      </c>
    </row>
    <row r="53" customFormat="false" ht="15" hidden="false" customHeight="false" outlineLevel="0" collapsed="false">
      <c r="A53" s="4" t="s">
        <v>111</v>
      </c>
      <c r="B53" s="4" t="s">
        <v>75</v>
      </c>
      <c r="C53" s="5" t="n">
        <v>270</v>
      </c>
      <c r="D53" s="10" t="s">
        <v>19</v>
      </c>
      <c r="E53" s="4"/>
      <c r="F53" s="4"/>
      <c r="G53" s="4" t="s">
        <v>112</v>
      </c>
    </row>
    <row r="54" customFormat="false" ht="15" hidden="false" customHeight="false" outlineLevel="0" collapsed="false">
      <c r="A54" s="4" t="s">
        <v>111</v>
      </c>
      <c r="B54" s="4" t="s">
        <v>63</v>
      </c>
      <c r="C54" s="5" t="n">
        <v>550</v>
      </c>
      <c r="D54" s="10" t="s">
        <v>19</v>
      </c>
      <c r="E54" s="4"/>
      <c r="F54" s="4"/>
      <c r="G54" s="4" t="s">
        <v>113</v>
      </c>
    </row>
    <row r="55" customFormat="false" ht="15" hidden="false" customHeight="false" outlineLevel="0" collapsed="false">
      <c r="A55" s="4" t="s">
        <v>111</v>
      </c>
      <c r="B55" s="4" t="s">
        <v>114</v>
      </c>
      <c r="C55" s="5" t="n">
        <v>2140</v>
      </c>
      <c r="D55" s="10" t="s">
        <v>19</v>
      </c>
      <c r="E55" s="4"/>
      <c r="F55" s="4"/>
      <c r="G55" s="4" t="s">
        <v>115</v>
      </c>
    </row>
    <row r="56" customFormat="false" ht="15" hidden="false" customHeight="false" outlineLevel="0" collapsed="false">
      <c r="A56" s="4" t="s">
        <v>111</v>
      </c>
      <c r="B56" s="4" t="s">
        <v>49</v>
      </c>
      <c r="C56" s="5" t="n">
        <v>1770</v>
      </c>
      <c r="D56" s="10" t="s">
        <v>19</v>
      </c>
      <c r="E56" s="4"/>
      <c r="F56" s="4"/>
      <c r="G56" s="4" t="s">
        <v>116</v>
      </c>
    </row>
    <row r="57" customFormat="false" ht="15" hidden="false" customHeight="false" outlineLevel="0" collapsed="false">
      <c r="A57" s="4" t="s">
        <v>111</v>
      </c>
      <c r="B57" s="4" t="s">
        <v>117</v>
      </c>
      <c r="C57" s="5" t="n">
        <v>2546</v>
      </c>
      <c r="D57" s="10" t="s">
        <v>19</v>
      </c>
      <c r="E57" s="4"/>
      <c r="F57" s="4"/>
      <c r="G57" s="4" t="s">
        <v>118</v>
      </c>
    </row>
    <row r="58" customFormat="false" ht="15" hidden="false" customHeight="false" outlineLevel="0" collapsed="false">
      <c r="A58" s="4" t="s">
        <v>111</v>
      </c>
      <c r="B58" s="4" t="s">
        <v>23</v>
      </c>
      <c r="C58" s="5" t="n">
        <v>4000</v>
      </c>
      <c r="D58" s="10" t="s">
        <v>19</v>
      </c>
      <c r="E58" s="4"/>
      <c r="F58" s="4"/>
      <c r="G58" s="4" t="s">
        <v>119</v>
      </c>
    </row>
    <row r="59" customFormat="false" ht="15" hidden="false" customHeight="false" outlineLevel="0" collapsed="false">
      <c r="A59" s="4" t="s">
        <v>111</v>
      </c>
      <c r="B59" s="4" t="s">
        <v>120</v>
      </c>
      <c r="C59" s="5" t="n">
        <v>1540</v>
      </c>
      <c r="D59" s="10" t="s">
        <v>19</v>
      </c>
      <c r="E59" s="4"/>
      <c r="F59" s="4"/>
      <c r="G59" s="4" t="s">
        <v>121</v>
      </c>
    </row>
    <row r="60" customFormat="false" ht="15" hidden="false" customHeight="false" outlineLevel="0" collapsed="false">
      <c r="A60" s="4" t="s">
        <v>111</v>
      </c>
      <c r="B60" s="4" t="s">
        <v>63</v>
      </c>
      <c r="C60" s="5" t="n">
        <v>4000</v>
      </c>
      <c r="D60" s="10" t="s">
        <v>19</v>
      </c>
      <c r="E60" s="4"/>
      <c r="F60" s="4"/>
      <c r="G60" s="4" t="s">
        <v>122</v>
      </c>
    </row>
    <row r="61" customFormat="false" ht="15" hidden="false" customHeight="false" outlineLevel="0" collapsed="false">
      <c r="A61" s="4" t="s">
        <v>111</v>
      </c>
      <c r="B61" s="4" t="s">
        <v>65</v>
      </c>
      <c r="C61" s="5" t="n">
        <v>469</v>
      </c>
      <c r="D61" s="10" t="s">
        <v>19</v>
      </c>
      <c r="E61" s="4"/>
      <c r="F61" s="4"/>
      <c r="G61" s="4" t="s">
        <v>110</v>
      </c>
    </row>
    <row r="62" customFormat="false" ht="15" hidden="false" customHeight="false" outlineLevel="0" collapsed="false">
      <c r="A62" s="4" t="s">
        <v>111</v>
      </c>
      <c r="B62" s="4" t="s">
        <v>123</v>
      </c>
      <c r="C62" s="5" t="n">
        <v>800</v>
      </c>
      <c r="D62" s="10" t="s">
        <v>19</v>
      </c>
      <c r="E62" s="4"/>
      <c r="F62" s="4"/>
      <c r="G62" s="4" t="s">
        <v>124</v>
      </c>
    </row>
    <row r="63" customFormat="false" ht="15" hidden="false" customHeight="false" outlineLevel="0" collapsed="false">
      <c r="A63" s="4" t="s">
        <v>111</v>
      </c>
      <c r="B63" s="4" t="s">
        <v>123</v>
      </c>
      <c r="C63" s="5" t="n">
        <v>5000</v>
      </c>
      <c r="D63" s="10" t="s">
        <v>19</v>
      </c>
      <c r="E63" s="4"/>
      <c r="F63" s="4"/>
      <c r="G63" s="4" t="s">
        <v>125</v>
      </c>
    </row>
    <row r="64" customFormat="false" ht="15" hidden="false" customHeight="false" outlineLevel="0" collapsed="false">
      <c r="A64" s="4" t="s">
        <v>111</v>
      </c>
      <c r="B64" s="4" t="s">
        <v>123</v>
      </c>
      <c r="C64" s="5" t="n">
        <v>5000</v>
      </c>
      <c r="D64" s="10" t="s">
        <v>19</v>
      </c>
      <c r="E64" s="4"/>
      <c r="F64" s="4"/>
      <c r="G64" s="4" t="s">
        <v>126</v>
      </c>
    </row>
    <row r="65" customFormat="false" ht="15" hidden="false" customHeight="false" outlineLevel="0" collapsed="false">
      <c r="A65" s="4" t="s">
        <v>111</v>
      </c>
      <c r="B65" s="4" t="s">
        <v>103</v>
      </c>
      <c r="C65" s="5" t="n">
        <v>2000</v>
      </c>
      <c r="D65" s="10" t="s">
        <v>19</v>
      </c>
      <c r="E65" s="4"/>
      <c r="F65" s="4"/>
      <c r="G65" s="4" t="s">
        <v>127</v>
      </c>
    </row>
    <row r="66" customFormat="false" ht="15" hidden="false" customHeight="false" outlineLevel="0" collapsed="false">
      <c r="A66" s="4" t="s">
        <v>128</v>
      </c>
      <c r="B66" s="4" t="s">
        <v>129</v>
      </c>
      <c r="C66" s="5" t="n">
        <v>19456</v>
      </c>
      <c r="D66" s="10" t="s">
        <v>19</v>
      </c>
      <c r="E66" s="4"/>
      <c r="F66" s="4"/>
      <c r="G66" s="4" t="s">
        <v>130</v>
      </c>
    </row>
    <row r="67" customFormat="false" ht="15" hidden="false" customHeight="false" outlineLevel="0" collapsed="false">
      <c r="A67" s="4" t="s">
        <v>128</v>
      </c>
      <c r="B67" s="4" t="s">
        <v>63</v>
      </c>
      <c r="C67" s="5" t="n">
        <v>850</v>
      </c>
      <c r="D67" s="10" t="s">
        <v>19</v>
      </c>
      <c r="E67" s="4"/>
      <c r="F67" s="4"/>
      <c r="G67" s="4" t="s">
        <v>131</v>
      </c>
    </row>
    <row r="68" customFormat="false" ht="15" hidden="false" customHeight="false" outlineLevel="0" collapsed="false">
      <c r="A68" s="4" t="s">
        <v>128</v>
      </c>
      <c r="B68" s="4" t="s">
        <v>65</v>
      </c>
      <c r="C68" s="5" t="n">
        <v>500</v>
      </c>
      <c r="D68" s="10" t="s">
        <v>19</v>
      </c>
      <c r="E68" s="4"/>
      <c r="F68" s="4"/>
      <c r="G68" s="4" t="s">
        <v>132</v>
      </c>
    </row>
    <row r="69" customFormat="false" ht="15" hidden="false" customHeight="false" outlineLevel="0" collapsed="false">
      <c r="A69" s="4" t="s">
        <v>128</v>
      </c>
      <c r="B69" s="4" t="s">
        <v>53</v>
      </c>
      <c r="C69" s="5" t="n">
        <v>300.9</v>
      </c>
      <c r="D69" s="10" t="s">
        <v>19</v>
      </c>
      <c r="E69" s="4"/>
      <c r="F69" s="4"/>
      <c r="G69" s="4" t="s">
        <v>133</v>
      </c>
    </row>
    <row r="70" customFormat="false" ht="15" hidden="false" customHeight="false" outlineLevel="0" collapsed="false">
      <c r="A70" s="4" t="s">
        <v>128</v>
      </c>
      <c r="B70" s="4" t="s">
        <v>23</v>
      </c>
      <c r="C70" s="5" t="n">
        <v>19000</v>
      </c>
      <c r="D70" s="10" t="s">
        <v>19</v>
      </c>
      <c r="E70" s="4"/>
      <c r="F70" s="4"/>
      <c r="G70" s="4" t="s">
        <v>134</v>
      </c>
    </row>
    <row r="71" customFormat="false" ht="15" hidden="false" customHeight="false" outlineLevel="0" collapsed="false">
      <c r="A71" s="4" t="s">
        <v>128</v>
      </c>
      <c r="B71" s="4" t="s">
        <v>67</v>
      </c>
      <c r="C71" s="5" t="n">
        <v>15000</v>
      </c>
      <c r="D71" s="10" t="s">
        <v>19</v>
      </c>
      <c r="E71" s="4"/>
      <c r="F71" s="4"/>
      <c r="G71" s="4" t="s">
        <v>135</v>
      </c>
    </row>
    <row r="72" customFormat="false" ht="15" hidden="false" customHeight="false" outlineLevel="0" collapsed="false">
      <c r="A72" s="4" t="s">
        <v>128</v>
      </c>
      <c r="B72" s="4" t="s">
        <v>136</v>
      </c>
      <c r="C72" s="5" t="n">
        <v>15000</v>
      </c>
      <c r="D72" s="10" t="s">
        <v>19</v>
      </c>
      <c r="E72" s="4"/>
      <c r="F72" s="4"/>
      <c r="G72" s="4" t="s">
        <v>137</v>
      </c>
    </row>
    <row r="73" customFormat="false" ht="15" hidden="false" customHeight="false" outlineLevel="0" collapsed="false">
      <c r="A73" s="4" t="s">
        <v>128</v>
      </c>
      <c r="B73" s="4" t="s">
        <v>58</v>
      </c>
      <c r="C73" s="5" t="n">
        <v>15000</v>
      </c>
      <c r="D73" s="10" t="s">
        <v>19</v>
      </c>
      <c r="E73" s="4"/>
      <c r="F73" s="4"/>
      <c r="G73" s="4" t="s">
        <v>138</v>
      </c>
    </row>
    <row r="74" customFormat="false" ht="15" hidden="false" customHeight="false" outlineLevel="0" collapsed="false">
      <c r="A74" s="4" t="s">
        <v>128</v>
      </c>
      <c r="B74" s="4" t="s">
        <v>139</v>
      </c>
      <c r="C74" s="5" t="n">
        <v>3000</v>
      </c>
      <c r="D74" s="10" t="s">
        <v>19</v>
      </c>
      <c r="E74" s="4"/>
      <c r="F74" s="4"/>
      <c r="G74" s="4" t="s">
        <v>140</v>
      </c>
    </row>
    <row r="75" customFormat="false" ht="15" hidden="false" customHeight="false" outlineLevel="0" collapsed="false">
      <c r="A75" s="4" t="s">
        <v>141</v>
      </c>
      <c r="B75" s="4" t="s">
        <v>75</v>
      </c>
      <c r="C75" s="5" t="n">
        <v>230</v>
      </c>
      <c r="D75" s="10" t="s">
        <v>19</v>
      </c>
      <c r="E75" s="4"/>
      <c r="F75" s="4"/>
      <c r="G75" s="4" t="s">
        <v>142</v>
      </c>
    </row>
    <row r="76" customFormat="false" ht="15" hidden="false" customHeight="false" outlineLevel="0" collapsed="false">
      <c r="A76" s="4" t="s">
        <v>141</v>
      </c>
      <c r="B76" s="4" t="s">
        <v>60</v>
      </c>
      <c r="C76" s="5" t="n">
        <v>250</v>
      </c>
      <c r="D76" s="10" t="s">
        <v>19</v>
      </c>
      <c r="E76" s="4"/>
      <c r="F76" s="4"/>
      <c r="G76" s="4" t="s">
        <v>143</v>
      </c>
    </row>
    <row r="77" customFormat="false" ht="15" hidden="false" customHeight="false" outlineLevel="0" collapsed="false">
      <c r="A77" s="4" t="s">
        <v>141</v>
      </c>
      <c r="B77" s="4" t="s">
        <v>63</v>
      </c>
      <c r="C77" s="5" t="n">
        <v>1000</v>
      </c>
      <c r="D77" s="10" t="s">
        <v>19</v>
      </c>
      <c r="E77" s="4"/>
      <c r="F77" s="4"/>
      <c r="G77" s="4" t="s">
        <v>144</v>
      </c>
    </row>
    <row r="78" customFormat="false" ht="15" hidden="false" customHeight="false" outlineLevel="0" collapsed="false">
      <c r="A78" s="4" t="s">
        <v>141</v>
      </c>
      <c r="B78" s="4" t="s">
        <v>23</v>
      </c>
      <c r="C78" s="5" t="n">
        <v>5000</v>
      </c>
      <c r="D78" s="10" t="s">
        <v>19</v>
      </c>
      <c r="E78" s="4"/>
      <c r="F78" s="4"/>
      <c r="G78" s="4" t="s">
        <v>145</v>
      </c>
    </row>
    <row r="79" customFormat="false" ht="15" hidden="false" customHeight="false" outlineLevel="0" collapsed="false">
      <c r="A79" s="4" t="s">
        <v>141</v>
      </c>
      <c r="B79" s="4" t="s">
        <v>146</v>
      </c>
      <c r="C79" s="5" t="n">
        <v>4000</v>
      </c>
      <c r="D79" s="10" t="s">
        <v>19</v>
      </c>
      <c r="E79" s="4"/>
      <c r="F79" s="4"/>
      <c r="G79" s="4" t="s">
        <v>147</v>
      </c>
    </row>
    <row r="80" customFormat="false" ht="15" hidden="false" customHeight="false" outlineLevel="0" collapsed="false">
      <c r="A80" s="4" t="s">
        <v>141</v>
      </c>
      <c r="B80" s="4" t="s">
        <v>39</v>
      </c>
      <c r="C80" s="5" t="n">
        <v>15000</v>
      </c>
      <c r="D80" s="10" t="s">
        <v>19</v>
      </c>
      <c r="E80" s="4"/>
      <c r="F80" s="4"/>
      <c r="G80" s="4" t="s">
        <v>148</v>
      </c>
    </row>
    <row r="81" customFormat="false" ht="15" hidden="false" customHeight="false" outlineLevel="0" collapsed="false">
      <c r="A81" s="4" t="s">
        <v>141</v>
      </c>
      <c r="B81" s="4" t="s">
        <v>47</v>
      </c>
      <c r="C81" s="5" t="n">
        <v>2000</v>
      </c>
      <c r="D81" s="10" t="s">
        <v>19</v>
      </c>
      <c r="E81" s="4"/>
      <c r="F81" s="4"/>
      <c r="G81" s="4" t="s">
        <v>149</v>
      </c>
    </row>
    <row r="82" customFormat="false" ht="15" hidden="false" customHeight="false" outlineLevel="0" collapsed="false">
      <c r="A82" s="4" t="s">
        <v>150</v>
      </c>
      <c r="B82" s="4" t="s">
        <v>63</v>
      </c>
      <c r="C82" s="5" t="n">
        <v>5354</v>
      </c>
      <c r="D82" s="10" t="s">
        <v>19</v>
      </c>
      <c r="E82" s="4"/>
      <c r="F82" s="4"/>
      <c r="G82" s="4" t="s">
        <v>151</v>
      </c>
    </row>
    <row r="83" customFormat="false" ht="15" hidden="false" customHeight="false" outlineLevel="0" collapsed="false">
      <c r="A83" s="4" t="s">
        <v>150</v>
      </c>
      <c r="B83" s="4" t="s">
        <v>53</v>
      </c>
      <c r="C83" s="5" t="n">
        <v>300.9</v>
      </c>
      <c r="D83" s="10" t="s">
        <v>19</v>
      </c>
      <c r="E83" s="4"/>
      <c r="F83" s="4"/>
      <c r="G83" s="4" t="s">
        <v>152</v>
      </c>
    </row>
    <row r="84" customFormat="false" ht="15" hidden="false" customHeight="false" outlineLevel="0" collapsed="false">
      <c r="A84" s="4" t="s">
        <v>150</v>
      </c>
      <c r="B84" s="4" t="s">
        <v>37</v>
      </c>
      <c r="C84" s="5" t="n">
        <v>850</v>
      </c>
      <c r="D84" s="10" t="s">
        <v>19</v>
      </c>
      <c r="E84" s="4"/>
      <c r="F84" s="4"/>
      <c r="G84" s="4" t="s">
        <v>153</v>
      </c>
    </row>
    <row r="85" customFormat="false" ht="15" hidden="false" customHeight="false" outlineLevel="0" collapsed="false">
      <c r="A85" s="4" t="s">
        <v>150</v>
      </c>
      <c r="B85" s="4" t="s">
        <v>23</v>
      </c>
      <c r="C85" s="5" t="n">
        <v>19000</v>
      </c>
      <c r="D85" s="10" t="s">
        <v>19</v>
      </c>
      <c r="E85" s="4"/>
      <c r="F85" s="4"/>
      <c r="G85" s="4" t="s">
        <v>154</v>
      </c>
    </row>
    <row r="86" customFormat="false" ht="15" hidden="false" customHeight="false" outlineLevel="0" collapsed="false">
      <c r="A86" s="4" t="s">
        <v>150</v>
      </c>
      <c r="B86" s="4" t="s">
        <v>37</v>
      </c>
      <c r="C86" s="5" t="n">
        <v>150</v>
      </c>
      <c r="D86" s="10" t="s">
        <v>19</v>
      </c>
      <c r="E86" s="4"/>
      <c r="F86" s="4"/>
      <c r="G86" s="4" t="s">
        <v>155</v>
      </c>
    </row>
    <row r="87" customFormat="false" ht="15" hidden="false" customHeight="false" outlineLevel="0" collapsed="false">
      <c r="A87" s="4" t="s">
        <v>150</v>
      </c>
      <c r="B87" s="4" t="s">
        <v>37</v>
      </c>
      <c r="C87" s="5" t="n">
        <v>600</v>
      </c>
      <c r="D87" s="10" t="s">
        <v>19</v>
      </c>
      <c r="E87" s="4"/>
      <c r="F87" s="4"/>
      <c r="G87" s="4" t="s">
        <v>156</v>
      </c>
    </row>
    <row r="88" customFormat="false" ht="15" hidden="false" customHeight="false" outlineLevel="0" collapsed="false">
      <c r="A88" s="4" t="s">
        <v>150</v>
      </c>
      <c r="B88" s="4" t="s">
        <v>129</v>
      </c>
      <c r="C88" s="5" t="n">
        <v>28950</v>
      </c>
      <c r="D88" s="10" t="s">
        <v>19</v>
      </c>
      <c r="E88" s="4"/>
      <c r="F88" s="4"/>
      <c r="G88" s="4" t="s">
        <v>157</v>
      </c>
    </row>
    <row r="89" customFormat="false" ht="15" hidden="false" customHeight="false" outlineLevel="0" collapsed="false">
      <c r="A89" s="4" t="s">
        <v>150</v>
      </c>
      <c r="B89" s="4" t="s">
        <v>67</v>
      </c>
      <c r="C89" s="5" t="n">
        <v>10000</v>
      </c>
      <c r="D89" s="10" t="s">
        <v>19</v>
      </c>
      <c r="E89" s="4"/>
      <c r="F89" s="4"/>
      <c r="G89" s="4" t="s">
        <v>158</v>
      </c>
    </row>
    <row r="90" customFormat="false" ht="15" hidden="false" customHeight="false" outlineLevel="0" collapsed="false">
      <c r="A90" s="4" t="s">
        <v>159</v>
      </c>
      <c r="B90" s="4" t="s">
        <v>75</v>
      </c>
      <c r="C90" s="5" t="n">
        <v>280</v>
      </c>
      <c r="D90" s="10" t="s">
        <v>19</v>
      </c>
      <c r="E90" s="4"/>
      <c r="F90" s="4"/>
      <c r="G90" s="4" t="s">
        <v>160</v>
      </c>
    </row>
    <row r="91" customFormat="false" ht="15" hidden="false" customHeight="false" outlineLevel="0" collapsed="false">
      <c r="A91" s="4" t="s">
        <v>159</v>
      </c>
      <c r="B91" s="4" t="s">
        <v>53</v>
      </c>
      <c r="C91" s="5" t="n">
        <v>300.9</v>
      </c>
      <c r="D91" s="10" t="s">
        <v>19</v>
      </c>
      <c r="E91" s="4"/>
      <c r="F91" s="4"/>
      <c r="G91" s="4" t="s">
        <v>161</v>
      </c>
    </row>
    <row r="92" customFormat="false" ht="15" hidden="false" customHeight="false" outlineLevel="0" collapsed="false">
      <c r="A92" s="4" t="s">
        <v>162</v>
      </c>
      <c r="B92" s="4" t="s">
        <v>163</v>
      </c>
      <c r="C92" s="5" t="n">
        <v>18082</v>
      </c>
      <c r="D92" s="10" t="s">
        <v>19</v>
      </c>
      <c r="E92" s="4"/>
      <c r="F92" s="4"/>
      <c r="G92" s="4" t="s">
        <v>164</v>
      </c>
    </row>
    <row r="93" customFormat="false" ht="15" hidden="false" customHeight="false" outlineLevel="0" collapsed="false">
      <c r="A93" s="4" t="s">
        <v>162</v>
      </c>
      <c r="B93" s="4" t="s">
        <v>75</v>
      </c>
      <c r="C93" s="5" t="n">
        <v>1175</v>
      </c>
      <c r="D93" s="10" t="s">
        <v>19</v>
      </c>
      <c r="E93" s="4"/>
      <c r="F93" s="4"/>
      <c r="G93" s="4" t="s">
        <v>165</v>
      </c>
    </row>
    <row r="94" customFormat="false" ht="15" hidden="false" customHeight="false" outlineLevel="0" collapsed="false">
      <c r="A94" s="4" t="s">
        <v>162</v>
      </c>
      <c r="B94" s="4" t="s">
        <v>146</v>
      </c>
      <c r="C94" s="5" t="n">
        <v>10000</v>
      </c>
      <c r="D94" s="10" t="s">
        <v>19</v>
      </c>
      <c r="E94" s="4"/>
      <c r="F94" s="4"/>
      <c r="G94" s="4" t="s">
        <v>166</v>
      </c>
    </row>
    <row r="95" customFormat="false" ht="15" hidden="false" customHeight="false" outlineLevel="0" collapsed="false">
      <c r="A95" s="4" t="s">
        <v>162</v>
      </c>
      <c r="B95" s="4" t="s">
        <v>49</v>
      </c>
      <c r="C95" s="5" t="n">
        <v>1770</v>
      </c>
      <c r="D95" s="10" t="s">
        <v>19</v>
      </c>
      <c r="E95" s="4"/>
      <c r="F95" s="4"/>
      <c r="G95" s="4" t="s">
        <v>167</v>
      </c>
    </row>
    <row r="96" customFormat="false" ht="15" hidden="false" customHeight="false" outlineLevel="0" collapsed="false">
      <c r="A96" s="4" t="s">
        <v>162</v>
      </c>
      <c r="B96" s="4" t="s">
        <v>65</v>
      </c>
      <c r="C96" s="5" t="n">
        <v>436</v>
      </c>
      <c r="D96" s="10" t="s">
        <v>19</v>
      </c>
      <c r="E96" s="4"/>
      <c r="F96" s="4"/>
      <c r="G96" s="4" t="s">
        <v>110</v>
      </c>
    </row>
    <row r="97" customFormat="false" ht="15" hidden="false" customHeight="false" outlineLevel="0" collapsed="false">
      <c r="A97" s="4" t="s">
        <v>162</v>
      </c>
      <c r="B97" s="4" t="s">
        <v>23</v>
      </c>
      <c r="C97" s="5" t="n">
        <v>5000</v>
      </c>
      <c r="D97" s="10" t="s">
        <v>19</v>
      </c>
      <c r="E97" s="4"/>
      <c r="F97" s="4"/>
      <c r="G97" s="4" t="s">
        <v>168</v>
      </c>
    </row>
    <row r="98" customFormat="false" ht="15" hidden="false" customHeight="false" outlineLevel="0" collapsed="false">
      <c r="A98" s="4" t="s">
        <v>162</v>
      </c>
      <c r="B98" s="4" t="s">
        <v>105</v>
      </c>
      <c r="C98" s="5" t="n">
        <v>69090</v>
      </c>
      <c r="D98" s="10" t="s">
        <v>19</v>
      </c>
      <c r="E98" s="4"/>
      <c r="F98" s="4"/>
      <c r="G98" s="4" t="s">
        <v>169</v>
      </c>
    </row>
    <row r="99" customFormat="false" ht="15" hidden="false" customHeight="false" outlineLevel="0" collapsed="false">
      <c r="A99" s="4" t="s">
        <v>170</v>
      </c>
      <c r="B99" s="4" t="s">
        <v>47</v>
      </c>
      <c r="C99" s="5" t="n">
        <v>10000</v>
      </c>
      <c r="D99" s="10" t="s">
        <v>19</v>
      </c>
      <c r="E99" s="4"/>
      <c r="F99" s="4"/>
      <c r="G99" s="4" t="s">
        <v>171</v>
      </c>
    </row>
    <row r="100" customFormat="false" ht="15" hidden="false" customHeight="false" outlineLevel="0" collapsed="false">
      <c r="A100" s="4" t="s">
        <v>170</v>
      </c>
      <c r="B100" s="4" t="s">
        <v>63</v>
      </c>
      <c r="C100" s="5" t="n">
        <v>5000</v>
      </c>
      <c r="D100" s="10" t="s">
        <v>19</v>
      </c>
      <c r="E100" s="4"/>
      <c r="F100" s="4"/>
      <c r="G100" s="4" t="s">
        <v>172</v>
      </c>
    </row>
    <row r="101" customFormat="false" ht="15" hidden="false" customHeight="false" outlineLevel="0" collapsed="false">
      <c r="A101" s="4" t="s">
        <v>170</v>
      </c>
      <c r="B101" s="4" t="s">
        <v>63</v>
      </c>
      <c r="C101" s="5" t="n">
        <v>1100</v>
      </c>
      <c r="D101" s="10" t="s">
        <v>19</v>
      </c>
      <c r="E101" s="4"/>
      <c r="F101" s="4"/>
      <c r="G101" s="4" t="s">
        <v>173</v>
      </c>
    </row>
    <row r="102" customFormat="false" ht="15" hidden="false" customHeight="false" outlineLevel="0" collapsed="false">
      <c r="A102" s="4" t="s">
        <v>174</v>
      </c>
      <c r="B102" s="4" t="s">
        <v>23</v>
      </c>
      <c r="C102" s="5" t="n">
        <v>10000</v>
      </c>
      <c r="D102" s="10" t="s">
        <v>19</v>
      </c>
      <c r="E102" s="4"/>
      <c r="F102" s="4"/>
      <c r="G102" s="4" t="s">
        <v>175</v>
      </c>
    </row>
    <row r="103" customFormat="false" ht="15" hidden="false" customHeight="false" outlineLevel="0" collapsed="false">
      <c r="A103" s="4" t="s">
        <v>174</v>
      </c>
      <c r="B103" s="4" t="s">
        <v>75</v>
      </c>
      <c r="C103" s="5" t="n">
        <v>750</v>
      </c>
      <c r="D103" s="10" t="s">
        <v>19</v>
      </c>
      <c r="E103" s="4"/>
      <c r="F103" s="4"/>
      <c r="G103" s="4" t="s">
        <v>176</v>
      </c>
    </row>
    <row r="104" customFormat="false" ht="15" hidden="false" customHeight="false" outlineLevel="0" collapsed="false">
      <c r="A104" s="4" t="s">
        <v>174</v>
      </c>
      <c r="B104" s="4" t="s">
        <v>177</v>
      </c>
      <c r="C104" s="5" t="n">
        <v>1406</v>
      </c>
      <c r="D104" s="10" t="s">
        <v>19</v>
      </c>
      <c r="E104" s="4"/>
      <c r="F104" s="4"/>
      <c r="G104" s="4" t="s">
        <v>178</v>
      </c>
    </row>
    <row r="105" customFormat="false" ht="15" hidden="false" customHeight="false" outlineLevel="0" collapsed="false">
      <c r="A105" s="4" t="s">
        <v>174</v>
      </c>
      <c r="B105" s="4" t="s">
        <v>63</v>
      </c>
      <c r="C105" s="5" t="n">
        <v>700</v>
      </c>
      <c r="D105" s="10" t="s">
        <v>19</v>
      </c>
      <c r="E105" s="4"/>
      <c r="F105" s="4"/>
      <c r="G105" s="4" t="s">
        <v>179</v>
      </c>
    </row>
    <row r="106" customFormat="false" ht="15" hidden="false" customHeight="false" outlineLevel="0" collapsed="false">
      <c r="A106" s="4" t="s">
        <v>174</v>
      </c>
      <c r="B106" s="4" t="s">
        <v>39</v>
      </c>
      <c r="C106" s="5" t="n">
        <v>15000</v>
      </c>
      <c r="D106" s="10" t="s">
        <v>19</v>
      </c>
      <c r="E106" s="4"/>
      <c r="F106" s="4"/>
      <c r="G106" s="4" t="s">
        <v>180</v>
      </c>
    </row>
    <row r="107" customFormat="false" ht="15" hidden="false" customHeight="false" outlineLevel="0" collapsed="false">
      <c r="A107" s="4" t="s">
        <v>174</v>
      </c>
      <c r="B107" s="4" t="s">
        <v>63</v>
      </c>
      <c r="C107" s="5" t="n">
        <v>5000</v>
      </c>
      <c r="D107" s="10" t="s">
        <v>19</v>
      </c>
      <c r="E107" s="4"/>
      <c r="F107" s="4"/>
      <c r="G107" s="4" t="s">
        <v>181</v>
      </c>
    </row>
    <row r="108" customFormat="false" ht="15" hidden="false" customHeight="false" outlineLevel="0" collapsed="false">
      <c r="A108" s="4" t="s">
        <v>174</v>
      </c>
      <c r="B108" s="4" t="s">
        <v>65</v>
      </c>
      <c r="C108" s="5" t="n">
        <v>1000</v>
      </c>
      <c r="D108" s="10" t="s">
        <v>19</v>
      </c>
      <c r="E108" s="4"/>
      <c r="F108" s="4"/>
      <c r="G108" s="4" t="s">
        <v>110</v>
      </c>
    </row>
    <row r="109" customFormat="false" ht="15" hidden="false" customHeight="false" outlineLevel="0" collapsed="false">
      <c r="A109" s="4" t="s">
        <v>174</v>
      </c>
      <c r="B109" s="4" t="s">
        <v>63</v>
      </c>
      <c r="C109" s="5" t="n">
        <v>30</v>
      </c>
      <c r="D109" s="10" t="s">
        <v>19</v>
      </c>
      <c r="E109" s="4"/>
      <c r="F109" s="4"/>
      <c r="G109" s="4" t="s">
        <v>182</v>
      </c>
    </row>
    <row r="110" customFormat="false" ht="15" hidden="false" customHeight="false" outlineLevel="0" collapsed="false">
      <c r="A110" s="4" t="s">
        <v>174</v>
      </c>
      <c r="B110" s="4" t="s">
        <v>63</v>
      </c>
      <c r="C110" s="5" t="n">
        <v>100</v>
      </c>
      <c r="D110" s="10" t="s">
        <v>19</v>
      </c>
      <c r="E110" s="4"/>
      <c r="F110" s="4"/>
      <c r="G110" s="4" t="s">
        <v>183</v>
      </c>
    </row>
    <row r="111" customFormat="false" ht="15" hidden="false" customHeight="false" outlineLevel="0" collapsed="false">
      <c r="A111" s="4" t="s">
        <v>174</v>
      </c>
      <c r="B111" s="4" t="s">
        <v>23</v>
      </c>
      <c r="C111" s="5" t="n">
        <v>10000</v>
      </c>
      <c r="D111" s="10" t="s">
        <v>19</v>
      </c>
      <c r="E111" s="4"/>
      <c r="F111" s="4"/>
      <c r="G111" s="4" t="s">
        <v>184</v>
      </c>
    </row>
    <row r="112" customFormat="false" ht="15" hidden="false" customHeight="false" outlineLevel="0" collapsed="false">
      <c r="A112" s="4" t="s">
        <v>185</v>
      </c>
      <c r="B112" s="4" t="s">
        <v>129</v>
      </c>
      <c r="C112" s="5" t="n">
        <v>3500</v>
      </c>
      <c r="D112" s="10" t="s">
        <v>19</v>
      </c>
      <c r="E112" s="4"/>
      <c r="F112" s="4"/>
      <c r="G112" s="4" t="s">
        <v>186</v>
      </c>
    </row>
    <row r="113" customFormat="false" ht="15" hidden="false" customHeight="false" outlineLevel="0" collapsed="false">
      <c r="A113" s="4" t="s">
        <v>185</v>
      </c>
      <c r="B113" s="4" t="s">
        <v>187</v>
      </c>
      <c r="C113" s="5" t="n">
        <v>4558</v>
      </c>
      <c r="D113" s="10" t="s">
        <v>19</v>
      </c>
      <c r="E113" s="4"/>
      <c r="F113" s="4"/>
      <c r="G113" s="4" t="s">
        <v>188</v>
      </c>
    </row>
    <row r="114" customFormat="false" ht="15" hidden="false" customHeight="false" outlineLevel="0" collapsed="false">
      <c r="A114" s="4" t="s">
        <v>185</v>
      </c>
      <c r="B114" s="4" t="s">
        <v>23</v>
      </c>
      <c r="C114" s="5" t="n">
        <v>10000</v>
      </c>
      <c r="D114" s="10" t="s">
        <v>19</v>
      </c>
      <c r="E114" s="4"/>
      <c r="F114" s="4"/>
      <c r="G114" s="4" t="s">
        <v>189</v>
      </c>
    </row>
    <row r="115" customFormat="false" ht="15" hidden="false" customHeight="false" outlineLevel="0" collapsed="false">
      <c r="A115" s="4" t="s">
        <v>190</v>
      </c>
      <c r="B115" s="4" t="s">
        <v>63</v>
      </c>
      <c r="C115" s="5" t="n">
        <v>665</v>
      </c>
      <c r="D115" s="10" t="s">
        <v>19</v>
      </c>
      <c r="E115" s="4"/>
      <c r="F115" s="4"/>
      <c r="G115" s="4" t="s">
        <v>191</v>
      </c>
    </row>
    <row r="116" customFormat="false" ht="15" hidden="false" customHeight="false" outlineLevel="0" collapsed="false">
      <c r="A116" s="4" t="s">
        <v>190</v>
      </c>
      <c r="B116" s="4" t="s">
        <v>63</v>
      </c>
      <c r="C116" s="5" t="n">
        <v>59</v>
      </c>
      <c r="D116" s="10" t="s">
        <v>19</v>
      </c>
      <c r="E116" s="4"/>
      <c r="F116" s="4"/>
      <c r="G116" s="4" t="s">
        <v>192</v>
      </c>
    </row>
    <row r="117" customFormat="false" ht="15" hidden="false" customHeight="false" outlineLevel="0" collapsed="false">
      <c r="A117" s="4" t="s">
        <v>190</v>
      </c>
      <c r="B117" s="4" t="s">
        <v>23</v>
      </c>
      <c r="C117" s="5" t="n">
        <v>5000</v>
      </c>
      <c r="D117" s="10" t="s">
        <v>19</v>
      </c>
      <c r="E117" s="4"/>
      <c r="F117" s="4"/>
      <c r="G117" s="4" t="s">
        <v>193</v>
      </c>
    </row>
    <row r="118" customFormat="false" ht="15" hidden="false" customHeight="false" outlineLevel="0" collapsed="false">
      <c r="A118" s="4" t="s">
        <v>190</v>
      </c>
      <c r="B118" s="4" t="s">
        <v>65</v>
      </c>
      <c r="C118" s="5" t="n">
        <v>1000</v>
      </c>
      <c r="D118" s="10" t="s">
        <v>19</v>
      </c>
      <c r="E118" s="4"/>
      <c r="F118" s="4"/>
      <c r="G118" s="4" t="s">
        <v>110</v>
      </c>
    </row>
    <row r="119" customFormat="false" ht="15" hidden="false" customHeight="false" outlineLevel="0" collapsed="false">
      <c r="A119" s="4" t="s">
        <v>190</v>
      </c>
      <c r="B119" s="4" t="s">
        <v>23</v>
      </c>
      <c r="C119" s="5" t="n">
        <v>10000</v>
      </c>
      <c r="D119" s="10" t="s">
        <v>19</v>
      </c>
      <c r="E119" s="4"/>
      <c r="F119" s="4"/>
      <c r="G119" s="4" t="s">
        <v>194</v>
      </c>
    </row>
    <row r="120" customFormat="false" ht="15" hidden="false" customHeight="false" outlineLevel="0" collapsed="false">
      <c r="A120" s="4" t="s">
        <v>195</v>
      </c>
      <c r="B120" s="4" t="s">
        <v>146</v>
      </c>
      <c r="C120" s="5" t="n">
        <v>5000</v>
      </c>
      <c r="D120" s="10" t="s">
        <v>19</v>
      </c>
      <c r="E120" s="4"/>
      <c r="F120" s="4"/>
      <c r="G120" s="4" t="s">
        <v>196</v>
      </c>
    </row>
    <row r="121" customFormat="false" ht="15" hidden="false" customHeight="false" outlineLevel="0" collapsed="false">
      <c r="A121" s="4" t="s">
        <v>195</v>
      </c>
      <c r="B121" s="4" t="s">
        <v>82</v>
      </c>
      <c r="C121" s="5" t="n">
        <v>2506.99</v>
      </c>
      <c r="D121" s="10" t="s">
        <v>19</v>
      </c>
      <c r="E121" s="4"/>
      <c r="F121" s="4"/>
      <c r="G121" s="4" t="s">
        <v>197</v>
      </c>
    </row>
    <row r="122" customFormat="false" ht="15" hidden="false" customHeight="false" outlineLevel="0" collapsed="false">
      <c r="A122" s="4" t="s">
        <v>195</v>
      </c>
      <c r="B122" s="4" t="s">
        <v>82</v>
      </c>
      <c r="C122" s="5" t="n">
        <v>300.02</v>
      </c>
      <c r="D122" s="10" t="s">
        <v>19</v>
      </c>
      <c r="E122" s="4"/>
      <c r="F122" s="4"/>
      <c r="G122" s="4" t="s">
        <v>198</v>
      </c>
    </row>
    <row r="123" customFormat="false" ht="15" hidden="false" customHeight="false" outlineLevel="0" collapsed="false">
      <c r="A123" s="4" t="s">
        <v>195</v>
      </c>
      <c r="B123" s="4" t="s">
        <v>63</v>
      </c>
      <c r="C123" s="5" t="n">
        <v>400</v>
      </c>
      <c r="D123" s="10" t="s">
        <v>19</v>
      </c>
      <c r="E123" s="4"/>
      <c r="F123" s="4"/>
      <c r="G123" s="4" t="s">
        <v>199</v>
      </c>
    </row>
    <row r="124" customFormat="false" ht="15" hidden="false" customHeight="false" outlineLevel="0" collapsed="false">
      <c r="A124" s="4" t="s">
        <v>195</v>
      </c>
      <c r="B124" s="4" t="s">
        <v>23</v>
      </c>
      <c r="C124" s="5" t="n">
        <v>2000</v>
      </c>
      <c r="D124" s="10" t="s">
        <v>19</v>
      </c>
      <c r="E124" s="4"/>
      <c r="F124" s="4"/>
      <c r="G124" s="4" t="s">
        <v>200</v>
      </c>
    </row>
    <row r="125" customFormat="false" ht="15" hidden="false" customHeight="false" outlineLevel="0" collapsed="false">
      <c r="A125" s="4" t="s">
        <v>195</v>
      </c>
      <c r="B125" s="4" t="s">
        <v>23</v>
      </c>
      <c r="C125" s="5" t="n">
        <v>3000</v>
      </c>
      <c r="D125" s="10" t="s">
        <v>19</v>
      </c>
      <c r="E125" s="4"/>
      <c r="F125" s="4"/>
      <c r="G125" s="4" t="s">
        <v>201</v>
      </c>
    </row>
    <row r="126" customFormat="false" ht="15" hidden="false" customHeight="false" outlineLevel="0" collapsed="false">
      <c r="A126" s="4" t="s">
        <v>195</v>
      </c>
      <c r="B126" s="4" t="s">
        <v>65</v>
      </c>
      <c r="C126" s="5" t="n">
        <v>909</v>
      </c>
      <c r="D126" s="10" t="s">
        <v>19</v>
      </c>
      <c r="E126" s="4"/>
      <c r="F126" s="4"/>
      <c r="G126" s="4" t="s">
        <v>202</v>
      </c>
    </row>
    <row r="127" customFormat="false" ht="15" hidden="false" customHeight="false" outlineLevel="0" collapsed="false">
      <c r="A127" s="4" t="s">
        <v>203</v>
      </c>
      <c r="B127" s="4" t="s">
        <v>25</v>
      </c>
      <c r="C127" s="5" t="n">
        <v>5000</v>
      </c>
      <c r="D127" s="10" t="s">
        <v>19</v>
      </c>
      <c r="E127" s="4"/>
      <c r="F127" s="4"/>
      <c r="G127" s="4" t="s">
        <v>204</v>
      </c>
    </row>
    <row r="128" customFormat="false" ht="15" hidden="false" customHeight="false" outlineLevel="0" collapsed="false">
      <c r="A128" s="4" t="s">
        <v>203</v>
      </c>
      <c r="B128" s="4" t="s">
        <v>60</v>
      </c>
      <c r="C128" s="5" t="n">
        <v>440</v>
      </c>
      <c r="D128" s="10" t="s">
        <v>19</v>
      </c>
      <c r="E128" s="4"/>
      <c r="F128" s="4"/>
      <c r="G128" s="4" t="s">
        <v>205</v>
      </c>
    </row>
    <row r="129" customFormat="false" ht="15" hidden="false" customHeight="false" outlineLevel="0" collapsed="false">
      <c r="A129" s="4" t="s">
        <v>203</v>
      </c>
      <c r="B129" s="4" t="s">
        <v>105</v>
      </c>
      <c r="C129" s="5" t="n">
        <v>37651</v>
      </c>
      <c r="D129" s="10" t="s">
        <v>19</v>
      </c>
      <c r="E129" s="4"/>
      <c r="F129" s="4"/>
      <c r="G129" s="4" t="s">
        <v>206</v>
      </c>
    </row>
    <row r="130" customFormat="false" ht="15" hidden="false" customHeight="false" outlineLevel="0" collapsed="false">
      <c r="A130" s="4" t="s">
        <v>207</v>
      </c>
      <c r="B130" s="4" t="s">
        <v>23</v>
      </c>
      <c r="C130" s="5" t="n">
        <v>10000</v>
      </c>
      <c r="D130" s="10" t="s">
        <v>19</v>
      </c>
      <c r="E130" s="4"/>
      <c r="F130" s="4"/>
      <c r="G130" s="4" t="s">
        <v>208</v>
      </c>
    </row>
    <row r="131" customFormat="false" ht="15" hidden="false" customHeight="false" outlineLevel="0" collapsed="false">
      <c r="A131" s="4" t="s">
        <v>207</v>
      </c>
      <c r="B131" s="4" t="s">
        <v>82</v>
      </c>
      <c r="C131" s="5" t="n">
        <v>1201.91</v>
      </c>
      <c r="D131" s="10" t="s">
        <v>19</v>
      </c>
      <c r="E131" s="4"/>
      <c r="F131" s="4"/>
      <c r="G131" s="4" t="s">
        <v>209</v>
      </c>
    </row>
    <row r="132" customFormat="false" ht="15" hidden="false" customHeight="false" outlineLevel="0" collapsed="false">
      <c r="A132" s="4" t="s">
        <v>207</v>
      </c>
      <c r="B132" s="4" t="s">
        <v>65</v>
      </c>
      <c r="C132" s="5" t="n">
        <v>500</v>
      </c>
      <c r="D132" s="10" t="s">
        <v>19</v>
      </c>
      <c r="E132" s="4"/>
      <c r="F132" s="4"/>
      <c r="G132" s="4" t="s">
        <v>210</v>
      </c>
    </row>
    <row r="133" customFormat="false" ht="15" hidden="false" customHeight="false" outlineLevel="0" collapsed="false">
      <c r="A133" s="4" t="s">
        <v>207</v>
      </c>
      <c r="B133" s="4" t="s">
        <v>63</v>
      </c>
      <c r="C133" s="5" t="n">
        <v>50</v>
      </c>
      <c r="D133" s="10" t="s">
        <v>19</v>
      </c>
      <c r="E133" s="4"/>
      <c r="F133" s="4"/>
      <c r="G133" s="4" t="s">
        <v>211</v>
      </c>
    </row>
    <row r="134" customFormat="false" ht="15" hidden="false" customHeight="false" outlineLevel="0" collapsed="false">
      <c r="A134" s="4" t="s">
        <v>207</v>
      </c>
      <c r="B134" s="4" t="s">
        <v>63</v>
      </c>
      <c r="C134" s="5" t="n">
        <v>305</v>
      </c>
      <c r="D134" s="10" t="s">
        <v>19</v>
      </c>
      <c r="E134" s="4"/>
      <c r="F134" s="4"/>
      <c r="G134" s="4" t="s">
        <v>212</v>
      </c>
    </row>
    <row r="135" customFormat="false" ht="15" hidden="false" customHeight="false" outlineLevel="0" collapsed="false">
      <c r="A135" s="4" t="s">
        <v>207</v>
      </c>
      <c r="B135" s="4" t="s">
        <v>53</v>
      </c>
      <c r="C135" s="5" t="n">
        <v>300.9</v>
      </c>
      <c r="D135" s="10" t="s">
        <v>19</v>
      </c>
      <c r="E135" s="4"/>
      <c r="F135" s="4"/>
      <c r="G135" s="4" t="s">
        <v>213</v>
      </c>
    </row>
    <row r="136" customFormat="false" ht="15" hidden="false" customHeight="false" outlineLevel="0" collapsed="false">
      <c r="A136" s="4" t="s">
        <v>207</v>
      </c>
      <c r="B136" s="4" t="s">
        <v>53</v>
      </c>
      <c r="C136" s="5" t="n">
        <v>300.9</v>
      </c>
      <c r="D136" s="10" t="s">
        <v>19</v>
      </c>
      <c r="E136" s="4"/>
      <c r="F136" s="4"/>
      <c r="G136" s="4" t="s">
        <v>214</v>
      </c>
    </row>
    <row r="137" customFormat="false" ht="15" hidden="false" customHeight="false" outlineLevel="0" collapsed="false">
      <c r="A137" s="4" t="s">
        <v>207</v>
      </c>
      <c r="B137" s="4" t="s">
        <v>215</v>
      </c>
      <c r="C137" s="5" t="n">
        <v>31546</v>
      </c>
      <c r="D137" s="10" t="s">
        <v>19</v>
      </c>
      <c r="E137" s="4"/>
      <c r="F137" s="4"/>
      <c r="G137" s="4" t="s">
        <v>216</v>
      </c>
    </row>
    <row r="138" customFormat="false" ht="15" hidden="false" customHeight="false" outlineLevel="0" collapsed="false">
      <c r="A138" s="4" t="s">
        <v>207</v>
      </c>
      <c r="B138" s="4" t="s">
        <v>120</v>
      </c>
      <c r="C138" s="5" t="n">
        <v>4500</v>
      </c>
      <c r="D138" s="10" t="s">
        <v>19</v>
      </c>
      <c r="E138" s="4"/>
      <c r="F138" s="4"/>
      <c r="G138" s="4" t="s">
        <v>217</v>
      </c>
    </row>
    <row r="139" customFormat="false" ht="15" hidden="false" customHeight="false" outlineLevel="0" collapsed="false">
      <c r="A139" s="4" t="s">
        <v>207</v>
      </c>
      <c r="B139" s="4" t="s">
        <v>47</v>
      </c>
      <c r="C139" s="5" t="n">
        <v>10000</v>
      </c>
      <c r="D139" s="10" t="s">
        <v>19</v>
      </c>
      <c r="E139" s="4"/>
      <c r="F139" s="4"/>
      <c r="G139" s="4" t="s">
        <v>218</v>
      </c>
    </row>
    <row r="140" customFormat="false" ht="15" hidden="false" customHeight="false" outlineLevel="0" collapsed="false">
      <c r="A140" s="4" t="s">
        <v>207</v>
      </c>
      <c r="B140" s="4" t="s">
        <v>56</v>
      </c>
      <c r="C140" s="5" t="n">
        <v>8000</v>
      </c>
      <c r="D140" s="10" t="s">
        <v>19</v>
      </c>
      <c r="E140" s="4"/>
      <c r="F140" s="4"/>
      <c r="G140" s="4" t="s">
        <v>219</v>
      </c>
    </row>
    <row r="141" customFormat="false" ht="15" hidden="false" customHeight="false" outlineLevel="0" collapsed="false">
      <c r="A141" s="4" t="s">
        <v>220</v>
      </c>
      <c r="B141" s="4" t="s">
        <v>63</v>
      </c>
      <c r="C141" s="5" t="n">
        <v>40</v>
      </c>
      <c r="D141" s="10" t="s">
        <v>19</v>
      </c>
      <c r="E141" s="4"/>
      <c r="F141" s="4"/>
      <c r="G141" s="4" t="s">
        <v>221</v>
      </c>
    </row>
    <row r="142" customFormat="false" ht="15" hidden="false" customHeight="false" outlineLevel="0" collapsed="false">
      <c r="A142" s="4" t="s">
        <v>220</v>
      </c>
      <c r="B142" s="4" t="s">
        <v>82</v>
      </c>
      <c r="C142" s="5" t="n">
        <v>295.02</v>
      </c>
      <c r="D142" s="10" t="s">
        <v>19</v>
      </c>
      <c r="E142" s="4"/>
      <c r="F142" s="4"/>
      <c r="G142" s="4" t="s">
        <v>222</v>
      </c>
    </row>
    <row r="143" customFormat="false" ht="15" hidden="false" customHeight="false" outlineLevel="0" collapsed="false">
      <c r="A143" s="4" t="s">
        <v>220</v>
      </c>
      <c r="B143" s="4" t="s">
        <v>60</v>
      </c>
      <c r="C143" s="5" t="n">
        <v>80</v>
      </c>
      <c r="D143" s="10" t="s">
        <v>19</v>
      </c>
      <c r="E143" s="4"/>
      <c r="F143" s="4"/>
      <c r="G143" s="4" t="s">
        <v>223</v>
      </c>
    </row>
    <row r="144" customFormat="false" ht="15" hidden="false" customHeight="false" outlineLevel="0" collapsed="false">
      <c r="A144" s="4" t="s">
        <v>220</v>
      </c>
      <c r="B144" s="4" t="s">
        <v>139</v>
      </c>
      <c r="C144" s="5" t="n">
        <v>5500</v>
      </c>
      <c r="D144" s="10" t="s">
        <v>19</v>
      </c>
      <c r="E144" s="4"/>
      <c r="F144" s="4"/>
      <c r="G144" s="4" t="s">
        <v>224</v>
      </c>
    </row>
    <row r="145" customFormat="false" ht="15" hidden="false" customHeight="false" outlineLevel="0" collapsed="false">
      <c r="A145" s="4" t="s">
        <v>220</v>
      </c>
      <c r="B145" s="4" t="s">
        <v>101</v>
      </c>
      <c r="C145" s="5" t="n">
        <v>3300</v>
      </c>
      <c r="D145" s="10" t="s">
        <v>19</v>
      </c>
      <c r="E145" s="4"/>
      <c r="F145" s="4"/>
      <c r="G145" s="4" t="s">
        <v>225</v>
      </c>
    </row>
    <row r="146" customFormat="false" ht="15" hidden="false" customHeight="false" outlineLevel="0" collapsed="false">
      <c r="A146" s="4" t="s">
        <v>220</v>
      </c>
      <c r="B146" s="4" t="s">
        <v>39</v>
      </c>
      <c r="C146" s="5" t="n">
        <v>15000</v>
      </c>
      <c r="D146" s="10" t="s">
        <v>19</v>
      </c>
      <c r="E146" s="4"/>
      <c r="F146" s="4"/>
      <c r="G146" s="4" t="s">
        <v>226</v>
      </c>
    </row>
    <row r="147" customFormat="false" ht="15" hidden="false" customHeight="false" outlineLevel="0" collapsed="false">
      <c r="A147" s="4" t="s">
        <v>220</v>
      </c>
      <c r="B147" s="4" t="s">
        <v>227</v>
      </c>
      <c r="C147" s="5" t="n">
        <v>4393</v>
      </c>
      <c r="D147" s="10" t="s">
        <v>19</v>
      </c>
      <c r="E147" s="4"/>
      <c r="F147" s="4"/>
      <c r="G147" s="4" t="s">
        <v>228</v>
      </c>
    </row>
    <row r="148" customFormat="false" ht="15" hidden="false" customHeight="false" outlineLevel="0" collapsed="false">
      <c r="A148" s="4" t="s">
        <v>220</v>
      </c>
      <c r="B148" s="4" t="s">
        <v>103</v>
      </c>
      <c r="C148" s="5" t="n">
        <v>4680</v>
      </c>
      <c r="D148" s="10" t="s">
        <v>19</v>
      </c>
      <c r="E148" s="4"/>
      <c r="F148" s="4"/>
      <c r="G148" s="4" t="s">
        <v>229</v>
      </c>
    </row>
    <row r="149" customFormat="false" ht="15" hidden="false" customHeight="false" outlineLevel="0" collapsed="false">
      <c r="A149" s="4" t="s">
        <v>220</v>
      </c>
      <c r="B149" s="4" t="s">
        <v>18</v>
      </c>
      <c r="C149" s="5" t="n">
        <v>5500</v>
      </c>
      <c r="D149" s="10" t="s">
        <v>19</v>
      </c>
      <c r="E149" s="4"/>
      <c r="F149" s="4"/>
      <c r="G149" s="4" t="s">
        <v>230</v>
      </c>
    </row>
    <row r="150" customFormat="false" ht="15" hidden="false" customHeight="false" outlineLevel="0" collapsed="false">
      <c r="A150" s="4" t="s">
        <v>220</v>
      </c>
      <c r="B150" s="4" t="s">
        <v>231</v>
      </c>
      <c r="C150" s="5" t="n">
        <v>6194</v>
      </c>
      <c r="D150" s="10" t="s">
        <v>19</v>
      </c>
      <c r="E150" s="4"/>
      <c r="F150" s="4"/>
      <c r="G150" s="4" t="s">
        <v>232</v>
      </c>
    </row>
    <row r="151" customFormat="false" ht="15" hidden="false" customHeight="false" outlineLevel="0" collapsed="false">
      <c r="A151" s="4" t="s">
        <v>220</v>
      </c>
      <c r="B151" s="4" t="s">
        <v>91</v>
      </c>
      <c r="C151" s="5" t="n">
        <v>5500</v>
      </c>
      <c r="D151" s="10" t="s">
        <v>19</v>
      </c>
      <c r="E151" s="4"/>
      <c r="F151" s="4"/>
      <c r="G151" s="4" t="s">
        <v>233</v>
      </c>
    </row>
    <row r="152" customFormat="false" ht="15" hidden="false" customHeight="false" outlineLevel="0" collapsed="false">
      <c r="A152" s="4" t="s">
        <v>220</v>
      </c>
      <c r="B152" s="4" t="s">
        <v>177</v>
      </c>
      <c r="C152" s="5" t="n">
        <v>4922</v>
      </c>
      <c r="D152" s="10" t="s">
        <v>19</v>
      </c>
      <c r="E152" s="4"/>
      <c r="F152" s="4"/>
      <c r="G152" s="4" t="s">
        <v>234</v>
      </c>
    </row>
    <row r="153" customFormat="false" ht="15" hidden="false" customHeight="false" outlineLevel="0" collapsed="false">
      <c r="A153" s="4" t="s">
        <v>220</v>
      </c>
      <c r="B153" s="4" t="s">
        <v>235</v>
      </c>
      <c r="C153" s="5" t="n">
        <v>7000</v>
      </c>
      <c r="D153" s="10" t="s">
        <v>19</v>
      </c>
      <c r="E153" s="4"/>
      <c r="F153" s="4"/>
      <c r="G153" s="4" t="s">
        <v>236</v>
      </c>
    </row>
    <row r="154" customFormat="false" ht="15" hidden="false" customHeight="false" outlineLevel="0" collapsed="false">
      <c r="A154" s="4" t="s">
        <v>220</v>
      </c>
      <c r="B154" s="4" t="s">
        <v>237</v>
      </c>
      <c r="C154" s="5" t="n">
        <v>7000</v>
      </c>
      <c r="D154" s="10" t="s">
        <v>19</v>
      </c>
      <c r="E154" s="4"/>
      <c r="F154" s="4"/>
      <c r="G154" s="4" t="s">
        <v>238</v>
      </c>
    </row>
    <row r="155" customFormat="false" ht="15" hidden="false" customHeight="false" outlineLevel="0" collapsed="false">
      <c r="A155" s="4" t="s">
        <v>220</v>
      </c>
      <c r="B155" s="4" t="s">
        <v>114</v>
      </c>
      <c r="C155" s="5" t="n">
        <v>7000</v>
      </c>
      <c r="D155" s="10" t="s">
        <v>19</v>
      </c>
      <c r="E155" s="4"/>
      <c r="F155" s="4"/>
      <c r="G155" s="4" t="s">
        <v>239</v>
      </c>
    </row>
    <row r="156" customFormat="false" ht="15" hidden="false" customHeight="false" outlineLevel="0" collapsed="false">
      <c r="A156" s="4" t="s">
        <v>220</v>
      </c>
      <c r="B156" s="4" t="s">
        <v>63</v>
      </c>
      <c r="C156" s="5" t="n">
        <v>300</v>
      </c>
      <c r="D156" s="10" t="s">
        <v>19</v>
      </c>
      <c r="E156" s="4"/>
      <c r="F156" s="4"/>
      <c r="G156" s="4" t="s">
        <v>240</v>
      </c>
    </row>
    <row r="157" customFormat="false" ht="15" hidden="false" customHeight="false" outlineLevel="0" collapsed="false">
      <c r="A157" s="4" t="s">
        <v>241</v>
      </c>
      <c r="B157" s="4" t="s">
        <v>82</v>
      </c>
      <c r="C157" s="5" t="n">
        <v>613.04</v>
      </c>
      <c r="D157" s="10" t="s">
        <v>19</v>
      </c>
      <c r="E157" s="4"/>
      <c r="F157" s="4"/>
      <c r="G157" s="4" t="s">
        <v>242</v>
      </c>
    </row>
    <row r="158" customFormat="false" ht="15" hidden="false" customHeight="false" outlineLevel="0" collapsed="false">
      <c r="A158" s="4" t="s">
        <v>241</v>
      </c>
      <c r="B158" s="4" t="s">
        <v>129</v>
      </c>
      <c r="C158" s="5" t="n">
        <v>34800</v>
      </c>
      <c r="D158" s="10" t="s">
        <v>19</v>
      </c>
      <c r="E158" s="4"/>
      <c r="F158" s="4"/>
      <c r="G158" s="4" t="s">
        <v>243</v>
      </c>
    </row>
    <row r="159" customFormat="false" ht="15" hidden="false" customHeight="false" outlineLevel="0" collapsed="false">
      <c r="A159" s="4" t="s">
        <v>241</v>
      </c>
      <c r="B159" s="4" t="s">
        <v>244</v>
      </c>
      <c r="C159" s="5" t="n">
        <v>21880</v>
      </c>
      <c r="D159" s="10" t="s">
        <v>19</v>
      </c>
      <c r="E159" s="4"/>
      <c r="F159" s="4"/>
      <c r="G159" s="4" t="s">
        <v>245</v>
      </c>
    </row>
    <row r="160" customFormat="false" ht="15" hidden="false" customHeight="false" outlineLevel="0" collapsed="false">
      <c r="A160" s="4" t="s">
        <v>241</v>
      </c>
      <c r="B160" s="4" t="s">
        <v>63</v>
      </c>
      <c r="C160" s="5" t="n">
        <v>10000</v>
      </c>
      <c r="D160" s="10" t="s">
        <v>19</v>
      </c>
      <c r="E160" s="4"/>
      <c r="F160" s="4"/>
      <c r="G160" s="4" t="s">
        <v>246</v>
      </c>
    </row>
    <row r="161" customFormat="false" ht="15" hidden="false" customHeight="false" outlineLevel="0" collapsed="false">
      <c r="A161" s="4" t="s">
        <v>241</v>
      </c>
      <c r="B161" s="4" t="s">
        <v>63</v>
      </c>
      <c r="C161" s="5" t="n">
        <v>1000</v>
      </c>
      <c r="D161" s="10" t="s">
        <v>19</v>
      </c>
      <c r="E161" s="4"/>
      <c r="F161" s="4"/>
      <c r="G161" s="4" t="s">
        <v>247</v>
      </c>
    </row>
    <row r="162" customFormat="false" ht="15" hidden="false" customHeight="false" outlineLevel="0" collapsed="false">
      <c r="A162" s="4" t="s">
        <v>241</v>
      </c>
      <c r="B162" s="4" t="s">
        <v>63</v>
      </c>
      <c r="C162" s="5" t="n">
        <v>290</v>
      </c>
      <c r="D162" s="10" t="s">
        <v>19</v>
      </c>
      <c r="E162" s="4"/>
      <c r="F162" s="4"/>
      <c r="G162" s="4" t="s">
        <v>248</v>
      </c>
    </row>
    <row r="164" customFormat="false" ht="15" hidden="false" customHeight="false" outlineLevel="0" collapsed="false">
      <c r="B164" s="12" t="s">
        <v>8</v>
      </c>
      <c r="C164" s="13" t="n">
        <f aca="false">SUM(C2:C162)</f>
        <v>1004816.28</v>
      </c>
    </row>
    <row r="165" customFormat="false" ht="15" hidden="false" customHeight="false" outlineLevel="0" collapsed="false">
      <c r="B165" s="12" t="s">
        <v>41</v>
      </c>
      <c r="C165" s="13" t="n">
        <f aca="false">SUMIF(D2:D162,"PAID",C2:C162)</f>
        <v>13390.9</v>
      </c>
    </row>
    <row r="166" customFormat="false" ht="15" hidden="false" customHeight="false" outlineLevel="0" collapsed="false">
      <c r="B166" s="12" t="s">
        <v>249</v>
      </c>
      <c r="C166" s="13" t="n">
        <f aca="false">C164-C165</f>
        <v>991425.38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5" min="3" style="0" width="12"/>
    <col collapsed="false" customWidth="true" hidden="false" outlineLevel="0" max="6" min="6" style="0" width="42"/>
  </cols>
  <sheetData>
    <row r="1" customFormat="false" ht="15" hidden="false" customHeight="false" outlineLevel="0" collapsed="false">
      <c r="A1" s="3" t="s">
        <v>250</v>
      </c>
      <c r="B1" s="3" t="s">
        <v>251</v>
      </c>
      <c r="C1" s="3" t="s">
        <v>2</v>
      </c>
      <c r="D1" s="3" t="s">
        <v>3</v>
      </c>
      <c r="E1" s="3" t="s">
        <v>4</v>
      </c>
      <c r="F1" s="3" t="s">
        <v>252</v>
      </c>
    </row>
    <row r="2" customFormat="false" ht="15" hidden="false" customHeight="false" outlineLevel="0" collapsed="false">
      <c r="A2" s="4" t="s">
        <v>253</v>
      </c>
      <c r="B2" s="4" t="s">
        <v>254</v>
      </c>
      <c r="C2" s="5" t="n">
        <v>0</v>
      </c>
      <c r="D2" s="5" t="n">
        <v>0</v>
      </c>
      <c r="E2" s="5" t="n">
        <v>0</v>
      </c>
      <c r="F2" s="4" t="s">
        <v>255</v>
      </c>
    </row>
    <row r="3" customFormat="false" ht="15" hidden="false" customHeight="false" outlineLevel="0" collapsed="false">
      <c r="A3" s="4" t="s">
        <v>256</v>
      </c>
      <c r="B3" s="4" t="s">
        <v>254</v>
      </c>
      <c r="C3" s="5" t="n">
        <v>0</v>
      </c>
      <c r="D3" s="5" t="n">
        <v>0</v>
      </c>
      <c r="E3" s="5" t="n">
        <v>0</v>
      </c>
      <c r="F3" s="4" t="s">
        <v>255</v>
      </c>
    </row>
    <row r="4" customFormat="false" ht="15" hidden="false" customHeight="false" outlineLevel="0" collapsed="false">
      <c r="A4" s="4" t="s">
        <v>257</v>
      </c>
      <c r="B4" s="4" t="s">
        <v>254</v>
      </c>
      <c r="C4" s="5" t="n">
        <v>0</v>
      </c>
      <c r="D4" s="5" t="n">
        <v>0</v>
      </c>
      <c r="E4" s="5" t="n">
        <v>0</v>
      </c>
      <c r="F4" s="4" t="s">
        <v>255</v>
      </c>
    </row>
    <row r="5" customFormat="false" ht="15" hidden="false" customHeight="false" outlineLevel="0" collapsed="false">
      <c r="A5" s="4" t="s">
        <v>258</v>
      </c>
      <c r="B5" s="4" t="s">
        <v>259</v>
      </c>
      <c r="C5" s="5" t="n">
        <v>0</v>
      </c>
      <c r="D5" s="5" t="n">
        <v>0</v>
      </c>
      <c r="E5" s="5" t="n">
        <v>0</v>
      </c>
      <c r="F5" s="4" t="s">
        <v>260</v>
      </c>
    </row>
    <row r="7" customFormat="false" ht="15" hidden="false" customHeight="false" outlineLevel="0" collapsed="false">
      <c r="A7" s="12" t="s">
        <v>8</v>
      </c>
      <c r="C7" s="13" t="n">
        <f aca="false">SUM(C2:C5)</f>
        <v>0</v>
      </c>
      <c r="D7" s="13" t="n">
        <f aca="false">SUM(D2:D5)</f>
        <v>0</v>
      </c>
      <c r="E7" s="13" t="n">
        <f aca="false">SUM(E2:E5)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4"/>
  </cols>
  <sheetData>
    <row r="1" customFormat="false" ht="15" hidden="false" customHeight="false" outlineLevel="0" collapsed="false">
      <c r="A1" s="3" t="s">
        <v>261</v>
      </c>
      <c r="B1" s="3" t="s">
        <v>2</v>
      </c>
      <c r="C1" s="3" t="s">
        <v>3</v>
      </c>
      <c r="D1" s="3" t="s">
        <v>4</v>
      </c>
    </row>
    <row r="2" customFormat="false" ht="15" hidden="false" customHeight="false" outlineLevel="0" collapsed="false">
      <c r="A2" s="4" t="s">
        <v>262</v>
      </c>
      <c r="B2" s="5" t="n">
        <v>1000</v>
      </c>
      <c r="C2" s="5" t="n">
        <v>0</v>
      </c>
      <c r="D2" s="5" t="n">
        <f aca="false">B2-C2</f>
        <v>1000</v>
      </c>
    </row>
    <row r="3" customFormat="false" ht="15" hidden="false" customHeight="false" outlineLevel="0" collapsed="false">
      <c r="A3" s="4" t="s">
        <v>263</v>
      </c>
      <c r="B3" s="5" t="n">
        <v>1000</v>
      </c>
      <c r="C3" s="5" t="n">
        <v>0</v>
      </c>
      <c r="D3" s="5" t="n">
        <f aca="false">B3-C3</f>
        <v>1000</v>
      </c>
    </row>
    <row r="4" customFormat="false" ht="15" hidden="false" customHeight="false" outlineLevel="0" collapsed="false">
      <c r="A4" s="4" t="s">
        <v>253</v>
      </c>
      <c r="B4" s="5" t="n">
        <v>2000</v>
      </c>
      <c r="C4" s="5" t="n">
        <v>0</v>
      </c>
      <c r="D4" s="5" t="n">
        <f aca="false">B4-C4</f>
        <v>2000</v>
      </c>
    </row>
    <row r="5" customFormat="false" ht="15" hidden="false" customHeight="false" outlineLevel="0" collapsed="false">
      <c r="A5" s="4" t="s">
        <v>264</v>
      </c>
      <c r="B5" s="5" t="n">
        <v>1000</v>
      </c>
      <c r="C5" s="5" t="n">
        <v>0</v>
      </c>
      <c r="D5" s="5" t="n">
        <f aca="false">B5-C5</f>
        <v>1000</v>
      </c>
    </row>
    <row r="6" customFormat="false" ht="15" hidden="false" customHeight="false" outlineLevel="0" collapsed="false">
      <c r="A6" s="4" t="s">
        <v>265</v>
      </c>
      <c r="B6" s="5" t="n">
        <v>0</v>
      </c>
      <c r="C6" s="5" t="n">
        <v>0</v>
      </c>
      <c r="D6" s="5" t="n">
        <f aca="false">B6-C6</f>
        <v>0</v>
      </c>
    </row>
    <row r="7" customFormat="false" ht="15" hidden="false" customHeight="false" outlineLevel="0" collapsed="false">
      <c r="A7" s="4" t="s">
        <v>266</v>
      </c>
      <c r="B7" s="5" t="n">
        <v>0</v>
      </c>
      <c r="C7" s="5" t="n">
        <v>0</v>
      </c>
      <c r="D7" s="5" t="n">
        <f aca="false">B7-C7</f>
        <v>0</v>
      </c>
    </row>
    <row r="8" customFormat="false" ht="15" hidden="false" customHeight="false" outlineLevel="0" collapsed="false">
      <c r="A8" s="4" t="s">
        <v>267</v>
      </c>
      <c r="B8" s="5" t="n">
        <v>0</v>
      </c>
      <c r="C8" s="5" t="n">
        <v>0</v>
      </c>
      <c r="D8" s="5" t="n">
        <f aca="false">B8-C8</f>
        <v>0</v>
      </c>
    </row>
    <row r="9" customFormat="false" ht="15" hidden="false" customHeight="false" outlineLevel="0" collapsed="false">
      <c r="A9" s="4" t="s">
        <v>268</v>
      </c>
      <c r="B9" s="5" t="n">
        <v>0</v>
      </c>
      <c r="C9" s="5" t="n">
        <v>0</v>
      </c>
      <c r="D9" s="5" t="n">
        <f aca="false">B9-C9</f>
        <v>0</v>
      </c>
    </row>
    <row r="10" customFormat="false" ht="15" hidden="false" customHeight="false" outlineLevel="0" collapsed="false">
      <c r="A10" s="4" t="s">
        <v>269</v>
      </c>
      <c r="B10" s="5" t="n">
        <v>0</v>
      </c>
      <c r="C10" s="5" t="n">
        <v>0</v>
      </c>
      <c r="D10" s="5" t="n">
        <f aca="false">B10-C10</f>
        <v>0</v>
      </c>
    </row>
    <row r="11" customFormat="false" ht="15" hidden="false" customHeight="false" outlineLevel="0" collapsed="false">
      <c r="A11" s="4" t="s">
        <v>270</v>
      </c>
      <c r="B11" s="5" t="n">
        <v>0</v>
      </c>
      <c r="C11" s="5" t="n">
        <v>0</v>
      </c>
      <c r="D11" s="5" t="n">
        <f aca="false">B11-C11</f>
        <v>0</v>
      </c>
    </row>
    <row r="12" customFormat="false" ht="15" hidden="false" customHeight="false" outlineLevel="0" collapsed="false">
      <c r="A12" s="4" t="s">
        <v>271</v>
      </c>
      <c r="B12" s="5" t="n">
        <v>0</v>
      </c>
      <c r="C12" s="5" t="n">
        <v>0</v>
      </c>
      <c r="D12" s="5" t="n">
        <f aca="false">B12-C12</f>
        <v>0</v>
      </c>
    </row>
    <row r="13" customFormat="false" ht="15" hidden="false" customHeight="false" outlineLevel="0" collapsed="false">
      <c r="A13" s="4" t="s">
        <v>272</v>
      </c>
      <c r="B13" s="5" t="n">
        <v>0</v>
      </c>
      <c r="C13" s="5" t="n">
        <v>0</v>
      </c>
      <c r="D13" s="5" t="n">
        <f aca="false">B13-C13</f>
        <v>0</v>
      </c>
    </row>
    <row r="14" customFormat="false" ht="15" hidden="false" customHeight="false" outlineLevel="0" collapsed="false">
      <c r="A14" s="4" t="s">
        <v>273</v>
      </c>
      <c r="B14" s="5" t="n">
        <v>0</v>
      </c>
      <c r="C14" s="5" t="n">
        <v>0</v>
      </c>
      <c r="D14" s="5" t="n">
        <f aca="false">B14-C14</f>
        <v>0</v>
      </c>
    </row>
    <row r="16" customFormat="false" ht="15" hidden="false" customHeight="false" outlineLevel="0" collapsed="false">
      <c r="A16" s="12" t="s">
        <v>8</v>
      </c>
      <c r="B16" s="13" t="n">
        <f aca="false">SUM(B2:B14)</f>
        <v>5000</v>
      </c>
      <c r="C16" s="13" t="n">
        <f aca="false">SUM(C2:C14)</f>
        <v>0</v>
      </c>
      <c r="D16" s="13" t="n">
        <f aca="false">SUM(D2:D14)</f>
        <v>5000</v>
      </c>
    </row>
    <row r="18" customFormat="false" ht="15" hidden="false" customHeight="false" outlineLevel="0" collapsed="false">
      <c r="A18" s="8" t="s">
        <v>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2026-07-26T13:04:41Z</dcterms:created>
  <dc:creator>openpyxl</dc:creator>
  <dc:description/>
  <dc:language>en-US</dc:language>
  <cp:lastModifiedBy/>
  <dcterms:modified xsi:type="dcterms:W3CDTF">2026-07-26T13:04:41Z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